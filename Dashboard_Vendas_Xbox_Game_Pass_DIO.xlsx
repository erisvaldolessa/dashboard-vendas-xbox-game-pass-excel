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4bb8525cb74e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554d266967f84cdd"/>
    <x:sheet xmlns:r="http://schemas.openxmlformats.org/officeDocument/2006/relationships" name="DADOS" sheetId="2" r:id="R0428779330754656"/>
    <x:sheet xmlns:r="http://schemas.openxmlformats.org/officeDocument/2006/relationships" name="ANALISE" sheetId="3" r:id="R0393c0b989124aac"/>
    <x:sheet xmlns:r="http://schemas.openxmlformats.org/officeDocument/2006/relationships" name="GUIA" sheetId="4" r:id="R4540b6ecb7ef46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dd/mm/yyyy"/>
    <x:numFmt numFmtId="201" formatCode="mmm/yyyy"/>
    <x:numFmt numFmtId="202" formatCode="#,##0.00"/>
    <x:numFmt numFmtId="203" formatCode="mmm/yy"/>
    <x:numFmt numFmtId="204" formatCode="0"/>
    <x:numFmt numFmtId="205" formatCode="0.0%"/>
  </x:numFmts>
  <x:fonts count="19">
    <x:font>
      <x:sz val="11"/>
      <x:name val="Carlito"/>
    </x:font>
    <x:font>
      <x:b/>
      <x:sz val="10"/>
      <x:color rgb="FFFFFFFF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  <x:font>
      <x:sz val="11"/>
      <x:color rgb="FF1C2E40"/>
      <x:name val="Aptos"/>
    </x:font>
    <x:font>
      <x:sz val="11"/>
      <x:color rgb="FFFFFFFF"/>
      <x:name val="Aptos"/>
    </x:font>
    <x:font>
      <x:sz val="21"/>
      <x:color rgb="FFFFFFFF"/>
      <x:name val="Aptos"/>
    </x:font>
    <x:font>
      <x:b/>
      <x:sz val="21"/>
      <x:color rgb="FFFFFFFF"/>
      <x:name val="Aptos"/>
    </x:font>
    <x:font>
      <x:sz val="11"/>
      <x:color rgb="FFB1D5DD"/>
      <x:name val="Aptos"/>
    </x:font>
    <x:font>
      <x:b/>
      <x:sz val="10"/>
      <x:color rgb="FF617386"/>
      <x:name val="Aptos"/>
    </x:font>
    <x:font>
      <x:b/>
      <x:sz val="11"/>
      <x:color rgb="FF101D2B"/>
      <x:name val="Aptos"/>
    </x:font>
    <x:font>
      <x:sz val="11"/>
      <x:color rgb="FF617386"/>
      <x:name val="Aptos"/>
    </x:font>
    <x:font>
      <x:b/>
      <x:sz val="10"/>
      <x:color rgb="FFFFFFFF"/>
      <x:name val="Aptos"/>
    </x:font>
    <x:font>
      <x:b/>
      <x:sz val="21"/>
      <x:color rgb="FF101D2B"/>
      <x:name val="Aptos"/>
    </x:font>
    <x:font>
      <x:b/>
      <x:sz val="10"/>
      <x:color rgb="FF15283B"/>
      <x:name val="Aptos"/>
    </x:font>
    <x:font>
      <x:b/>
      <x:sz val="17"/>
      <x:color rgb="FF15283B"/>
      <x:name val="Aptos"/>
    </x:font>
    <x:font>
      <x:sz val="11"/>
      <x:color rgb="FF15283B"/>
      <x:name val="Aptos"/>
    </x:font>
    <x:font>
      <x:b/>
      <x:sz val="11"/>
      <x:color rgb="FFFFFFFF"/>
      <x:name val="Aptos"/>
    </x:font>
    <x:font>
      <x:b/>
      <x:sz val="18"/>
      <x:color rgb="FFFFFFFF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01D2B"/>
      </x:patternFill>
    </x:fill>
    <x:fill>
      <x:patternFill patternType="solid">
        <x:fgColor rgb="FF15283B"/>
      </x:patternFill>
    </x:fill>
    <x:fill>
      <x:patternFill patternType="solid">
        <x:fgColor rgb="FFF3F7FA"/>
      </x:patternFill>
    </x:fill>
    <x:fill>
      <x:patternFill patternType="solid">
        <x:fgColor rgb="FFFFFFFF"/>
      </x:patternFill>
    </x:fill>
    <x:fill>
      <x:patternFill patternType="solid">
        <x:fgColor rgb="FFE4EEF0"/>
      </x:patternFill>
    </x:fill>
    <x:fill>
      <x:patternFill patternType="solid">
        <x:fgColor rgb="FFD4E5EA"/>
      </x:patternFill>
    </x:fill>
    <x:fill>
      <x:patternFill patternType="solid">
        <x:fgColor rgb="FFDFEAF0"/>
      </x:patternFill>
    </x:fill>
    <x:fill>
      <x:patternFill patternType="solid">
        <x:fgColor rgb="FF9BC848"/>
      </x:patternFill>
    </x:fill>
  </x:fills>
  <x:borders count="2">
    <x:border/>
    <x:border/>
  </x:borders>
  <x:cellStyleXfs count="1">
    <x:xf numFmtId="0" fontId="0" fillId="0" borderId="0"/>
  </x:cellStyleXfs>
  <x:cellXfs count="1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9" fillId="4" borderId="0" xfId="0" applyNumberFormat="1" applyFont="1" applyFill="1" applyBorder="1"/>
    <x:xf numFmtId="0" fontId="9" fillId="4" borderId="1" xfId="0" applyNumberFormat="1" applyFont="1" applyFill="1" applyBorder="1"/>
    <x:xf numFmtId="0" fontId="4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horizontal="center"/>
    </x:xf>
    <x:xf numFmtId="0" fontId="10" fillId="5" borderId="0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/>
    <x:xf numFmtId="0" fontId="10" fillId="5" borderId="1" xfId="0" applyNumberFormat="1" applyFont="1" applyFill="1" applyBorder="1"/>
    <x:xf numFmtId="0" fontId="10" fillId="5" borderId="1" xfId="0" applyNumberFormat="1" applyFont="1" applyFill="1" applyBorder="1" applyAlignment="1">
      <x:alignment horizontal="center"/>
    </x:xf>
    <x:xf numFmtId="0" fontId="10" fillId="5" borderId="1" xfId="0" applyNumberFormat="1" applyFont="1" applyFill="1" applyBorder="1" applyAlignment="1">
      <x:alignment horizontal="center" vertical="center"/>
    </x:xf>
    <x:xf numFmtId="0" fontId="11" fillId="4" borderId="0" xfId="0" applyNumberFormat="1" applyFont="1" applyFill="1" applyBorder="1"/>
    <x:xf numFmtId="0" fontId="11" fillId="4" borderId="1" xfId="0" applyNumberFormat="1" applyFont="1" applyFill="1" applyBorder="1"/>
    <x:xf numFmtId="0" fontId="4" fillId="3" borderId="0" xfId="0" applyNumberFormat="1" applyFont="1" applyFill="1" applyBorder="1"/>
    <x:xf numFmtId="0" fontId="12" fillId="3" borderId="0" xfId="0" applyNumberFormat="1" applyFont="1" applyFill="1" applyBorder="1"/>
    <x:xf numFmtId="0" fontId="4" fillId="3" borderId="1" xfId="0" applyNumberFormat="1" applyFont="1" applyFill="1" applyBorder="1"/>
    <x:xf numFmtId="0" fontId="12" fillId="3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2" fontId="13" fillId="5" borderId="0" xfId="0" applyNumberFormat="1" applyFont="1" applyFill="1" applyBorder="1"/>
    <x:xf numFmtId="202" fontId="13" fillId="5" borderId="0" xfId="0" applyNumberFormat="1" applyFont="1" applyFill="1" applyBorder="1" applyAlignment="1">
      <x:alignment horizontal="center"/>
    </x:xf>
    <x:xf numFmtId="202" fontId="13" fillId="5" borderId="0" xfId="0" applyNumberFormat="1" applyFont="1" applyFill="1" applyBorder="1" applyAlignment="1">
      <x:alignment horizontal="center" vertical="center"/>
    </x:xf>
    <x:xf numFmtId="202" fontId="13" fillId="5" borderId="1" xfId="0" applyNumberFormat="1" applyFont="1" applyFill="1" applyBorder="1"/>
    <x:xf numFmtId="202" fontId="13" fillId="5" borderId="1" xfId="0" applyNumberFormat="1" applyFont="1" applyFill="1" applyBorder="1" applyAlignment="1">
      <x:alignment horizontal="center"/>
    </x:xf>
    <x:xf numFmtId="202" fontId="13" fillId="5" borderId="1" xfId="0" applyNumberFormat="1" applyFont="1" applyFill="1" applyBorder="1" applyAlignment="1">
      <x:alignment horizontal="center" vertical="center"/>
    </x:xf>
    <x:xf numFmtId="204" fontId="4" fillId="5" borderId="0" xfId="0" applyNumberFormat="1" applyFont="1" applyFill="1" applyBorder="1"/>
    <x:xf numFmtId="204" fontId="4" fillId="5" borderId="1" xfId="0" applyNumberFormat="1" applyFont="1" applyFill="1" applyBorder="1"/>
    <x:xf numFmtId="204" fontId="13" fillId="5" borderId="0" xfId="0" applyNumberFormat="1" applyFont="1" applyFill="1" applyBorder="1"/>
    <x:xf numFmtId="204" fontId="13" fillId="5" borderId="0" xfId="0" applyNumberFormat="1" applyFont="1" applyFill="1" applyBorder="1" applyAlignment="1">
      <x:alignment horizontal="center"/>
    </x:xf>
    <x:xf numFmtId="204" fontId="13" fillId="5" borderId="0" xfId="0" applyNumberFormat="1" applyFont="1" applyFill="1" applyBorder="1" applyAlignment="1">
      <x:alignment horizontal="center" vertical="center"/>
    </x:xf>
    <x:xf numFmtId="204" fontId="13" fillId="5" borderId="1" xfId="0" applyNumberFormat="1" applyFont="1" applyFill="1" applyBorder="1"/>
    <x:xf numFmtId="204" fontId="13" fillId="5" borderId="1" xfId="0" applyNumberFormat="1" applyFont="1" applyFill="1" applyBorder="1" applyAlignment="1">
      <x:alignment horizontal="center"/>
    </x:xf>
    <x:xf numFmtId="204" fontId="13" fillId="5" borderId="1" xfId="0" applyNumberFormat="1" applyFont="1" applyFill="1" applyBorder="1" applyAlignment="1">
      <x:alignment horizontal="center" vertical="center"/>
    </x:xf>
    <x:xf numFmtId="205" fontId="4" fillId="5" borderId="0" xfId="0" applyNumberFormat="1" applyFont="1" applyFill="1" applyBorder="1"/>
    <x:xf numFmtId="205" fontId="4" fillId="5" borderId="1" xfId="0" applyNumberFormat="1" applyFont="1" applyFill="1" applyBorder="1"/>
    <x:xf numFmtId="205" fontId="13" fillId="5" borderId="0" xfId="0" applyNumberFormat="1" applyFont="1" applyFill="1" applyBorder="1"/>
    <x:xf numFmtId="205" fontId="13" fillId="5" borderId="0" xfId="0" applyNumberFormat="1" applyFont="1" applyFill="1" applyBorder="1" applyAlignment="1">
      <x:alignment horizontal="center"/>
    </x:xf>
    <x:xf numFmtId="205" fontId="13" fillId="5" borderId="0" xfId="0" applyNumberFormat="1" applyFont="1" applyFill="1" applyBorder="1" applyAlignment="1">
      <x:alignment horizontal="center" vertical="center"/>
    </x:xf>
    <x:xf numFmtId="205" fontId="13" fillId="5" borderId="1" xfId="0" applyNumberFormat="1" applyFont="1" applyFill="1" applyBorder="1"/>
    <x:xf numFmtId="205" fontId="13" fillId="5" borderId="1" xfId="0" applyNumberFormat="1" applyFont="1" applyFill="1" applyBorder="1" applyAlignment="1">
      <x:alignment horizontal="center"/>
    </x:xf>
    <x:xf numFmtId="205" fontId="13" fillId="5" borderId="1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7" borderId="0" xfId="0" applyNumberFormat="1" applyFont="1" applyFill="1" applyBorder="1"/>
    <x:xf numFmtId="0" fontId="14" fillId="7" borderId="0" xfId="0" applyNumberFormat="1" applyFont="1" applyFill="1" applyBorder="1"/>
    <x:xf numFmtId="0" fontId="4" fillId="7" borderId="1" xfId="0" applyNumberFormat="1" applyFont="1" applyFill="1" applyBorder="1"/>
    <x:xf numFmtId="0" fontId="14" fillId="7" borderId="1" xfId="0" applyNumberFormat="1" applyFont="1" applyFill="1" applyBorder="1"/>
    <x:xf numFmtId="202" fontId="4" fillId="6" borderId="0" xfId="0" applyNumberFormat="1" applyFont="1" applyFill="1" applyBorder="1"/>
    <x:xf numFmtId="202" fontId="4" fillId="6" borderId="1" xfId="0" applyNumberFormat="1" applyFont="1" applyFill="1" applyBorder="1"/>
    <x:xf numFmtId="202" fontId="15" fillId="6" borderId="0" xfId="0" applyNumberFormat="1" applyFont="1" applyFill="1" applyBorder="1"/>
    <x:xf numFmtId="202" fontId="15" fillId="6" borderId="0" xfId="0" applyNumberFormat="1" applyFont="1" applyFill="1" applyBorder="1" applyAlignment="1">
      <x:alignment horizontal="center"/>
    </x:xf>
    <x:xf numFmtId="202" fontId="15" fillId="6" borderId="0" xfId="0" applyNumberFormat="1" applyFont="1" applyFill="1" applyBorder="1" applyAlignment="1">
      <x:alignment horizontal="center" vertical="center"/>
    </x:xf>
    <x:xf numFmtId="202" fontId="15" fillId="6" borderId="1" xfId="0" applyNumberFormat="1" applyFont="1" applyFill="1" applyBorder="1"/>
    <x:xf numFmtId="202" fontId="15" fillId="6" borderId="1" xfId="0" applyNumberFormat="1" applyFont="1" applyFill="1" applyBorder="1" applyAlignment="1">
      <x:alignment horizontal="center"/>
    </x:xf>
    <x:xf numFmtId="202" fontId="15" fillId="6" borderId="1" xfId="0" applyNumberFormat="1" applyFont="1" applyFill="1" applyBorder="1" applyAlignment="1">
      <x:alignment horizontal="center" vertical="center"/>
    </x:xf>
    <x:xf numFmtId="204" fontId="4" fillId="6" borderId="0" xfId="0" applyNumberFormat="1" applyFont="1" applyFill="1" applyBorder="1"/>
    <x:xf numFmtId="204" fontId="4" fillId="6" borderId="1" xfId="0" applyNumberFormat="1" applyFont="1" applyFill="1" applyBorder="1"/>
    <x:xf numFmtId="204" fontId="15" fillId="6" borderId="0" xfId="0" applyNumberFormat="1" applyFont="1" applyFill="1" applyBorder="1"/>
    <x:xf numFmtId="204" fontId="15" fillId="6" borderId="0" xfId="0" applyNumberFormat="1" applyFont="1" applyFill="1" applyBorder="1" applyAlignment="1">
      <x:alignment horizontal="center"/>
    </x:xf>
    <x:xf numFmtId="204" fontId="15" fillId="6" borderId="0" xfId="0" applyNumberFormat="1" applyFont="1" applyFill="1" applyBorder="1" applyAlignment="1">
      <x:alignment horizontal="center" vertical="center"/>
    </x:xf>
    <x:xf numFmtId="204" fontId="15" fillId="6" borderId="1" xfId="0" applyNumberFormat="1" applyFont="1" applyFill="1" applyBorder="1"/>
    <x:xf numFmtId="204" fontId="15" fillId="6" borderId="1" xfId="0" applyNumberFormat="1" applyFont="1" applyFill="1" applyBorder="1" applyAlignment="1">
      <x:alignment horizontal="center"/>
    </x:xf>
    <x:xf numFmtId="204" fontId="15" fillId="6" borderId="1" xfId="0" applyNumberFormat="1" applyFont="1" applyFill="1" applyBorder="1" applyAlignment="1">
      <x:alignment horizontal="center" vertical="center"/>
    </x:xf>
    <x:xf numFmtId="0" fontId="4" fillId="8" borderId="0" xfId="0" applyNumberFormat="1" applyFont="1" applyFill="1" applyBorder="1"/>
    <x:xf numFmtId="0" fontId="16" fillId="8" borderId="0" xfId="0" applyNumberFormat="1" applyFont="1" applyFill="1" applyBorder="1"/>
    <x:xf numFmtId="0" fontId="4" fillId="8" borderId="1" xfId="0" applyNumberFormat="1" applyFont="1" applyFill="1" applyBorder="1"/>
    <x:xf numFmtId="0" fontId="16" fillId="8" borderId="1" xfId="0" applyNumberFormat="1" applyFont="1" applyFill="1" applyBorder="1"/>
    <x:xf numFmtId="0" fontId="16" fillId="3" borderId="0" xfId="0" applyNumberFormat="1" applyFont="1" applyFill="1" applyBorder="1"/>
    <x:xf numFmtId="0" fontId="17" fillId="3" borderId="0" xfId="0" applyNumberFormat="1" applyFont="1" applyFill="1" applyBorder="1"/>
    <x:xf numFmtId="0" fontId="16" fillId="3" borderId="1" xfId="0" applyNumberFormat="1" applyFont="1" applyFill="1" applyBorder="1"/>
    <x:xf numFmtId="0" fontId="17" fillId="3" borderId="1" xfId="0" applyNumberFormat="1" applyFont="1" applyFill="1" applyBorder="1"/>
    <x:xf numFmtId="0" fontId="16" fillId="8" borderId="0" xfId="0" applyNumberFormat="1" applyFont="1" applyFill="1" applyBorder="1" applyAlignment="1">
      <x:alignment wrapText="1"/>
    </x:xf>
    <x:xf numFmtId="0" fontId="16" fillId="8" borderId="1" xfId="0" applyNumberFormat="1" applyFont="1" applyFill="1" applyBorder="1" applyAlignment="1">
      <x:alignment wrapText="1"/>
    </x:xf>
    <x:xf numFmtId="0" fontId="18" fillId="2" borderId="0" xfId="0" applyNumberFormat="1" applyFont="1" applyFill="1" applyBorder="1"/>
    <x:xf numFmtId="0" fontId="18" fillId="2" borderId="0" xfId="0" applyNumberFormat="1" applyFont="1" applyFill="1" applyBorder="1" applyAlignment="1">
      <x:alignment vertical="center"/>
    </x:xf>
    <x:xf numFmtId="0" fontId="18" fillId="2" borderId="1" xfId="0" applyNumberFormat="1" applyFont="1" applyFill="1" applyBorder="1"/>
    <x:xf numFmtId="0" fontId="18" fillId="2" borderId="1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/>
  </x:cellXfs>
  <x:cellStyles count="1">
    <x:cellStyle name="Normal" xfId="0"/>
  </x:cellStyles>
  <x:dxfs count="1">
    <x:dxf>
      <x:font>
        <x:color rgb="FF9B1C1C"/>
      </x:font>
      <x:fill>
        <x:patternFill patternType="solid">
          <x:bgColor rgb="FFFD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1d1ba779404db2" /><Relationship Type="http://schemas.openxmlformats.org/officeDocument/2006/relationships/theme" Target="/xl/theme/theme1.xml" Id="R4b0bb06d517747df" /><Relationship Type="http://schemas.openxmlformats.org/officeDocument/2006/relationships/sharedStrings" Target="/xl/sharedStrings.xml" Id="Rdbe11023c44948a2" /><Relationship Type="http://schemas.openxmlformats.org/officeDocument/2006/relationships/worksheet" Target="/xl/worksheets/sheet1.xml" Id="R554d266967f84cdd" /><Relationship Type="http://schemas.openxmlformats.org/officeDocument/2006/relationships/worksheet" Target="/xl/worksheets/sheet2.xml" Id="R0428779330754656" /><Relationship Type="http://schemas.openxmlformats.org/officeDocument/2006/relationships/worksheet" Target="/xl/worksheets/sheet3.xml" Id="R0393c0b989124aac" /><Relationship Type="http://schemas.openxmlformats.org/officeDocument/2006/relationships/worksheet" Target="/xl/worksheets/sheet4.xml" Id="R4540b6ecb7ef46f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b2d9f68a1b341f5" /><Relationship Type="http://schemas.openxmlformats.org/officeDocument/2006/relationships/chart" Target="/xl/drawings/charts/chart2.xml" Id="R23b753f38aae409d" /><Relationship Type="http://schemas.openxmlformats.org/officeDocument/2006/relationships/chart" Target="/xl/drawings/charts/chart3.xml" Id="Rc0f31ba0499347c7" /><Relationship Type="http://schemas.openxmlformats.org/officeDocument/2006/relationships/chart" Target="/xl/drawings/charts/chart4.xml" Id="R18f7e576855349a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Valor mensal (u.m.)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Valor mensal (u.m.)</c:v>
          </c:tx>
          <c:marker>
            <c:symbol val="none"/>
          </c:marker>
          <c:cat>
            <c:strRef>
              <c:f>'ANALISE'!$C$5:$C$16</c:f>
              <c:strCache>
                <c:ptCount val="0"/>
              </c:strCache>
            </c:strRef>
          </c:cat>
          <c:val>
            <c:numRef>
              <c:f>'ANALISE'!$B$5:$B$16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Valor por plano (u.m.)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Valor por plano (u.m.)</c:v>
          </c:tx>
          <c:cat>
            <c:strRef>
              <c:f>'ANALISE'!$D$5:$D$7</c:f>
              <c:strCache>
                <c:ptCount val="0"/>
              </c:strCache>
            </c:strRef>
          </c:cat>
          <c:val>
            <c:numRef>
              <c:f>'ANALISE'!$E$5:$E$7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Quantidade de assinaturas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Quantidade de assinaturas</c:v>
          </c:tx>
          <c:cat>
            <c:strRef>
              <c:f>'ANALISE'!$G$5:$G$7</c:f>
              <c:strCache>
                <c:ptCount val="0"/>
              </c:strCache>
            </c:strRef>
          </c:cat>
          <c:val>
            <c:numRef>
              <c:f>'ANALISE'!$H$5:$H$7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Renovação automática</a:t>
            </a:r>
          </a:p>
        </c:rich>
      </c:tx>
      <c:overlay val="0"/>
    </c:title>
    <c:plotArea>
      <c:pieChart>
        <c:ser>
          <c:idx val="0"/>
          <c:order val="0"/>
          <c:tx>
            <c:v>Renovação automática</c:v>
          </c:tx>
          <c:cat>
            <c:strRef>
              <c:f>'ANALISE'!$J$5:$J$6</c:f>
              <c:strCache>
                <c:ptCount val="0"/>
              </c:strCache>
            </c:strRef>
          </c:cat>
          <c:val>
            <c:numRef>
              <c:f>'ANALISE'!$K$5:$K$6</c:f>
              <c:numCache>
                <c:formatCode>General</c:formatCode>
                <c:ptCount val="0"/>
              </c:numCache>
            </c:numRef>
          </c:val>
        </c:ser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19</xdr:row>
      <xdr:rowOff>0</xdr:rowOff>
    </xdr:from>
    <xdr:to>
      <xdr:col>9</xdr:col>
      <xdr:colOff>0</xdr:colOff>
      <xdr:row>36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2d9f68a1b341f5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17</xdr:col>
      <xdr:colOff>0</xdr:colOff>
      <xdr:row>36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b753f38aae409d"/>
        </a:graphicData>
      </a:graphic>
    </xdr:graphicFrame>
    <xdr:clientData/>
  </xdr:twoCellAnchor>
  <xdr:twoCellAnchor>
    <xdr:from>
      <xdr:col>1</xdr:col>
      <xdr:colOff>0</xdr:colOff>
      <xdr:row>38</xdr:row>
      <xdr:rowOff>0</xdr:rowOff>
    </xdr:from>
    <xdr:to>
      <xdr:col>9</xdr:col>
      <xdr:colOff>0</xdr:colOff>
      <xdr:row>55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f31ba0499347c7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17</xdr:col>
      <xdr:colOff>0</xdr:colOff>
      <xdr:row>55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f7e576855349a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elaAssinaturas" displayName="TabelaAssinaturas" ref="A1:N296" headerRowCount="1" totalsRowCount="0" totalsRowShown="0">
  <x:tableColumns count="14">
    <x:tableColumn id="1" name="ID ASSINANTE"/>
    <x:tableColumn id="2" name="PLANO"/>
    <x:tableColumn id="3" name="INÍCIO DA ASSINATURA"/>
    <x:tableColumn id="4" name="RENOVAÇÃO AUTOMÁTICA"/>
    <x:tableColumn id="5" name="VALOR PLANO (u.m.)"/>
    <x:tableColumn id="6" name="PERIODICIDADE"/>
    <x:tableColumn id="7" name="EA PLAY"/>
    <x:tableColumn id="8" name="VALOR EA PLAY (u.m.)"/>
    <x:tableColumn id="9" name="MINECRAFT"/>
    <x:tableColumn id="10" name="VALOR MINECRAFT (u.m.)"/>
    <x:tableColumn id="11" name="CUPOM (u.m.)"/>
    <x:tableColumn id="12" name="VALOR TOTAL (u.m.)"/>
    <x:tableColumn id="13" name="MÊS DE INÍCIO"/>
    <x:tableColumn id="14" name="CONFERÊ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aed79378e0d4fb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b4df4e0a544c68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" hidden="0" customWidth="1"/>
    <x:col min="17" max="17" width="3" hidden="0" customWidth="1"/>
    <x:col min="2" max="2" width="11.800000190734863" hidden="0" customWidth="1"/>
    <x:col min="4" max="4" width="11.800000190734863" hidden="0" customWidth="1"/>
    <x:col min="5" max="5" width="11.800000190734863" hidden="0" customWidth="1"/>
    <x:col min="6" max="6" width="11.800000190734863" hidden="0" customWidth="1"/>
    <x:col min="7" max="7" width="11.800000190734863" hidden="0" customWidth="1"/>
    <x:col min="8" max="8" width="11.800000190734863" hidden="0" customWidth="1"/>
    <x:col min="10" max="10" width="11.800000190734863" hidden="0" customWidth="1"/>
    <x:col min="12" max="12" width="11.800000190734863" hidden="0" customWidth="1"/>
    <x:col min="13" max="13" width="11.800000190734863" hidden="0" customWidth="1"/>
    <x:col min="14" max="14" width="11.800000190734863" hidden="0" customWidth="1"/>
    <x:col min="15" max="15" width="11.800000190734863" hidden="0" customWidth="1"/>
    <x:col min="16" max="16" width="11.800000190734863" hidden="0" customWidth="1"/>
    <x:col min="3" max="3" width="16" hidden="0" customWidth="1"/>
    <x:col min="9" max="9" width="16" hidden="0" customWidth="1"/>
    <x:col min="11" max="11" width="16" hidden="0" customWidth="1"/>
  </x:cols>
  <x:sheetData>
    <x:row r="1" ht="22" customHeight="1">
      <x:c r="A1" s="25"/>
      <x:c r="B1" s="25"/>
      <x:c r="C1" s="25"/>
      <x:c r="D1" s="25"/>
      <x:c r="E1" s="25"/>
      <x:c r="F1" s="25"/>
      <x:c r="G1" s="25"/>
      <x:c r="H1" s="25"/>
      <x:c r="I1" s="25"/>
      <x:c r="J1" s="25"/>
      <x:c r="K1" s="25"/>
      <x:c r="L1" s="25"/>
      <x:c r="M1" s="25"/>
      <x:c r="N1" s="25"/>
      <x:c r="O1" s="25"/>
      <x:c r="P1" s="25"/>
      <x:c r="Q1" s="25"/>
    </x:row>
    <x:row r="2" ht="25" customHeight="1">
      <x:c r="A2" s="25"/>
      <x:c r="B2" s="34" t="str">
        <x:v>XBOX GAME PASS  |  INTELIGÊNCIA DE VENDAS</x:v>
      </x:c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5"/>
    </x:row>
    <x:row r="3" ht="25" customHeight="1">
      <x:c r="A3" s="25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5"/>
    </x:row>
    <x:row r="4" ht="25" customHeight="1">
      <x:c r="A4" s="25"/>
      <x:c r="B4" s="36" t="str">
        <x:v>Dashboard interativo • assinaturas iniciadas em 2024 • base educacional DIO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5"/>
    </x:row>
    <x:row r="5" ht="7" customHeight="1">
      <x:c r="A5" s="25"/>
      <x:c r="B5" s="118"/>
      <x:c r="C5" s="118"/>
      <x:c r="D5" s="118"/>
      <x:c r="E5" s="118"/>
      <x:c r="F5" s="118"/>
      <x:c r="G5" s="118"/>
      <x:c r="H5" s="118"/>
      <x:c r="I5" s="118"/>
      <x:c r="J5" s="118"/>
      <x:c r="K5" s="118"/>
      <x:c r="L5" s="118"/>
      <x:c r="M5" s="118"/>
      <x:c r="N5" s="118"/>
      <x:c r="O5" s="118"/>
      <x:c r="P5" s="118"/>
      <x:c r="Q5" s="25"/>
    </x:row>
    <x:row r="6" ht="24" customHeight="1">
      <x:c r="A6" s="25"/>
      <x:c r="B6" s="38" t="str">
        <x:v>FILTRO  ·  PLANO</x:v>
      </x:c>
      <x:c r="C6" s="38"/>
      <x:c r="D6" s="38"/>
      <x:c r="E6" s="25"/>
      <x:c r="F6" s="25"/>
      <x:c r="G6" s="25"/>
      <x:c r="H6" s="25"/>
      <x:c r="I6" s="25"/>
      <x:c r="J6" s="38" t="str">
        <x:v>FILTRO  ·  PERIODICIDADE</x:v>
      </x:c>
      <x:c r="K6" s="38"/>
      <x:c r="L6" s="38"/>
      <x:c r="M6" s="25"/>
      <x:c r="N6" s="25"/>
      <x:c r="O6" s="25"/>
      <x:c r="P6" s="25"/>
      <x:c r="Q6" s="25"/>
    </x:row>
    <x:row r="7" ht="28" customHeight="1">
      <x:c r="A7" s="25"/>
      <x:c r="B7" s="25"/>
      <x:c r="C7" s="43" t="str">
        <x:v>Todos</x:v>
      </x:c>
      <x:c r="D7" s="25"/>
      <x:c r="E7" s="48" t="str">
        <x:v>Selecione para atualizar gráficos e KPIs</x:v>
      </x:c>
      <x:c r="F7" s="25"/>
      <x:c r="G7" s="25"/>
      <x:c r="H7" s="25"/>
      <x:c r="I7" s="25"/>
      <x:c r="J7" s="25"/>
      <x:c r="K7" s="43" t="str">
        <x:v>Todas</x:v>
      </x:c>
      <x:c r="L7" s="25"/>
      <x:c r="M7" s="25"/>
      <x:c r="N7" s="25"/>
      <x:c r="O7" s="25"/>
      <x:c r="P7" s="25"/>
      <x:c r="Q7" s="25"/>
    </x:row>
    <x:row r="8" ht="22" customHeight="1">
      <x:c r="A8" s="25"/>
      <x:c r="B8" s="25"/>
      <x:c r="C8" s="25"/>
      <x:c r="D8" s="25"/>
      <x:c r="E8" s="25"/>
      <x:c r="F8" s="25"/>
      <x:c r="G8" s="25"/>
      <x:c r="H8" s="25"/>
      <x:c r="I8" s="25"/>
      <x:c r="J8" s="25"/>
      <x:c r="K8" s="25"/>
      <x:c r="L8" s="25"/>
      <x:c r="M8" s="25"/>
      <x:c r="N8" s="25"/>
      <x:c r="O8" s="25"/>
      <x:c r="P8" s="25"/>
      <x:c r="Q8" s="25"/>
    </x:row>
    <x:row r="9" ht="11" customHeight="1">
      <x:c r="A9" s="25"/>
      <x:c r="B9" s="25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  <x:c r="O9" s="25"/>
      <x:c r="P9" s="25"/>
      <x:c r="Q9" s="25"/>
    </x:row>
    <x:row r="10" ht="28" customHeight="1">
      <x:c r="A10" s="25"/>
      <x:c r="B10" s="51" t="str">
        <x:v>RECEITA TOTAL (u.m.)</x:v>
      </x:c>
      <x:c r="C10" s="40"/>
      <x:c r="D10" s="40"/>
      <x:c r="E10" s="25"/>
      <x:c r="F10" s="51" t="str">
        <x:v>ASSINATURAS</x:v>
      </x:c>
      <x:c r="G10" s="40"/>
      <x:c r="H10" s="40"/>
      <x:c r="I10" s="25"/>
      <x:c r="J10" s="51" t="str">
        <x:v>VALOR MÉDIO (u.m.)</x:v>
      </x:c>
      <x:c r="K10" s="40"/>
      <x:c r="L10" s="40"/>
      <x:c r="M10" s="25"/>
      <x:c r="N10" s="51" t="str">
        <x:v>RENOVAÇÃO AUTOMÁTICA</x:v>
      </x:c>
      <x:c r="O10" s="40"/>
      <x:c r="P10" s="40"/>
      <x:c r="Q10" s="25"/>
    </x:row>
    <x:row r="11" ht="24" customHeight="1">
      <x:c r="A11" s="25"/>
      <x:c r="B11" s="58" t="n">
        <x:f>SUMIFS(DADOS!$L$2:$L$296,DADOS!$B$2:$B$296,IF(PAINEL!$C$7="Todos","*",PAINEL!$C$7),DADOS!$F$2:$F$296,IF(PAINEL!$K$7="Todas","*",PAINEL!$K$7))</x:f>
        <x:v>7633</x:v>
      </x:c>
      <x:c r="C11" s="40"/>
      <x:c r="D11" s="40"/>
      <x:c r="E11" s="25"/>
      <x:c r="F11" s="66" t="n">
        <x:f>COUNTIFS(DADOS!$B$2:$B$296,IF(PAINEL!$C$7="Todos","*",PAINEL!$C$7),DADOS!$F$2:$F$296,IF(PAINEL!$K$7="Todas","*",PAINEL!$K$7))</x:f>
        <x:v>295</x:v>
      </x:c>
      <x:c r="G11" s="40"/>
      <x:c r="H11" s="40"/>
      <x:c r="I11" s="25"/>
      <x:c r="J11" s="58" t="n">
        <x:f>IFERROR(B11/F11,0)</x:f>
        <x:v>25.87457627118644</x:v>
      </x:c>
      <x:c r="K11" s="40"/>
      <x:c r="L11" s="40"/>
      <x:c r="M11" s="25"/>
      <x:c r="N11" s="74" t="n">
        <x:f>IFERROR(=COUNTIFS(DADOS!$B$2:$B$296,IF(PAINEL!$C$7="Todos","*",PAINEL!$C$7),DADOS!$F$2:$F$296,IF(PAINEL!$K$7="Todas","*",PAINEL!$K$7),DADOS!$D$2:$D$296,"Sim")/F11,0)</x:f>
        <x:v>0.5016949152542373</x:v>
      </x:c>
      <x:c r="O11" s="40"/>
      <x:c r="P11" s="40"/>
      <x:c r="Q11" s="25"/>
    </x:row>
    <x:row r="12" ht="24" customHeight="1">
      <x:c r="A12" s="25"/>
      <x:c r="B12" s="40"/>
      <x:c r="C12" s="40"/>
      <x:c r="D12" s="40"/>
      <x:c r="E12" s="25"/>
      <x:c r="F12" s="40"/>
      <x:c r="G12" s="40"/>
      <x:c r="H12" s="40"/>
      <x:c r="I12" s="25"/>
      <x:c r="J12" s="40"/>
      <x:c r="K12" s="40"/>
      <x:c r="L12" s="40"/>
      <x:c r="M12" s="25"/>
      <x:c r="N12" s="40"/>
      <x:c r="O12" s="40"/>
      <x:c r="P12" s="40"/>
      <x:c r="Q12" s="25"/>
    </x:row>
    <x:row r="13" ht="24" customHeight="1">
      <x:c r="A13" s="25"/>
      <x:c r="B13" s="40"/>
      <x:c r="C13" s="40"/>
      <x:c r="D13" s="40"/>
      <x:c r="E13" s="25"/>
      <x:c r="F13" s="40"/>
      <x:c r="G13" s="40"/>
      <x:c r="H13" s="40"/>
      <x:c r="I13" s="25"/>
      <x:c r="J13" s="40"/>
      <x:c r="K13" s="40"/>
      <x:c r="L13" s="40"/>
      <x:c r="M13" s="25"/>
      <x:c r="N13" s="40"/>
      <x:c r="O13" s="40"/>
      <x:c r="P13" s="40"/>
      <x:c r="Q13" s="25"/>
    </x:row>
    <x:row r="14" ht="22" customHeight="1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  <x:c r="O14" s="25"/>
      <x:c r="P14" s="25"/>
      <x:c r="Q14" s="25"/>
    </x:row>
    <x:row r="15" ht="22" customHeight="1">
      <x:c r="A15" s="25"/>
      <x:c r="B15" s="81" t="str">
        <x:v>EA PLAY (u.m.)</x:v>
      </x:c>
      <x:c r="C15" s="78"/>
      <x:c r="D15" s="78"/>
      <x:c r="E15" s="25"/>
      <x:c r="F15" s="81" t="str">
        <x:v>MINECRAFT (u.m.)</x:v>
      </x:c>
      <x:c r="G15" s="78"/>
      <x:c r="H15" s="78"/>
      <x:c r="I15" s="25"/>
      <x:c r="J15" s="81" t="str">
        <x:v>CUPONS (u.m.)</x:v>
      </x:c>
      <x:c r="K15" s="78"/>
      <x:c r="L15" s="78"/>
      <x:c r="M15" s="25"/>
      <x:c r="N15" s="81" t="str">
        <x:v>DIVERGÊNCIAS NA BASE</x:v>
      </x:c>
      <x:c r="O15" s="78"/>
      <x:c r="P15" s="78"/>
      <x:c r="Q15" s="25"/>
    </x:row>
    <x:row r="16" ht="22" customHeight="1">
      <x:c r="A16" s="25"/>
      <x:c r="B16" s="88" t="n">
        <x:f>SUMIFS(DADOS!$H$2:$H$296,DADOS!$B$2:$B$296,IF(PAINEL!$C$7="Todos","*",PAINEL!$C$7),DADOS!$F$2:$F$296,IF(PAINEL!$K$7="Todas","*",PAINEL!$K$7))</x:f>
        <x:v>2940</x:v>
      </x:c>
      <x:c r="C16" s="78"/>
      <x:c r="D16" s="78"/>
      <x:c r="E16" s="25"/>
      <x:c r="F16" s="88" t="n">
        <x:f>SUMIFS(DADOS!$J$2:$J$296,DADOS!$B$2:$B$296,IF(PAINEL!$C$7="Todos","*",PAINEL!$C$7),DADOS!$F$2:$F$296,IF(PAINEL!$K$7="Todas","*",PAINEL!$K$7))</x:f>
        <x:v>3880</x:v>
      </x:c>
      <x:c r="G16" s="78"/>
      <x:c r="H16" s="78"/>
      <x:c r="I16" s="25"/>
      <x:c r="J16" s="88" t="n">
        <x:f>SUMIFS(DADOS!$K$2:$K$296,DADOS!$B$2:$B$296,IF(PAINEL!$C$7="Todos","*",PAINEL!$C$7),DADOS!$F$2:$F$296,IF(PAINEL!$K$7="Todas","*",PAINEL!$K$7))</x:f>
        <x:v>2122</x:v>
      </x:c>
      <x:c r="K16" s="78"/>
      <x:c r="L16" s="78"/>
      <x:c r="M16" s="25"/>
      <x:c r="N16" s="96" t="n">
        <x:f>COUNTIF(DADOS!$N$2:$N$296,"REVER")</x:f>
        <x:v>0</x:v>
      </x:c>
      <x:c r="O16" s="78"/>
      <x:c r="P16" s="78"/>
      <x:c r="Q16" s="25"/>
    </x:row>
    <x:row r="17" ht="22" customHeight="1">
      <x:c r="A17" s="25"/>
      <x:c r="B17" s="78"/>
      <x:c r="C17" s="78"/>
      <x:c r="D17" s="78"/>
      <x:c r="E17" s="25"/>
      <x:c r="F17" s="78"/>
      <x:c r="G17" s="78"/>
      <x:c r="H17" s="78"/>
      <x:c r="I17" s="25"/>
      <x:c r="J17" s="78"/>
      <x:c r="K17" s="78"/>
      <x:c r="L17" s="78"/>
      <x:c r="M17" s="25"/>
      <x:c r="N17" s="78"/>
      <x:c r="O17" s="78"/>
      <x:c r="P17" s="78"/>
      <x:c r="Q17" s="25"/>
    </x:row>
    <x:row r="18" ht="22" customHeight="1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</x:row>
    <x:row r="19" ht="28" customHeight="1">
      <x:c r="A19" s="25"/>
      <x:c r="B19" s="51" t="str">
        <x:v>VALOR POR MÊS DE INÍCIO</x:v>
      </x:c>
      <x:c r="C19" s="51"/>
      <x:c r="D19" s="51"/>
      <x:c r="E19" s="51"/>
      <x:c r="F19" s="51"/>
      <x:c r="G19" s="51"/>
      <x:c r="H19" s="51"/>
      <x:c r="I19" s="25"/>
      <x:c r="J19" s="51" t="str">
        <x:v>RECEITA POR PLANO</x:v>
      </x:c>
      <x:c r="K19" s="51"/>
      <x:c r="L19" s="51"/>
      <x:c r="M19" s="51"/>
      <x:c r="N19" s="51"/>
      <x:c r="O19" s="51"/>
      <x:c r="P19" s="51"/>
      <x:c r="Q19" s="25"/>
    </x:row>
    <x:row r="20" ht="22" customHeight="1">
      <x:c r="A20" s="25"/>
      <x:c r="B20" s="40"/>
      <x:c r="C20" s="40"/>
      <x:c r="D20" s="40"/>
      <x:c r="E20" s="40"/>
      <x:c r="F20" s="40"/>
      <x:c r="G20" s="40"/>
      <x:c r="H20" s="40"/>
      <x:c r="I20" s="25"/>
      <x:c r="J20" s="40"/>
      <x:c r="K20" s="40"/>
      <x:c r="L20" s="40"/>
      <x:c r="M20" s="40"/>
      <x:c r="N20" s="40"/>
      <x:c r="O20" s="40"/>
      <x:c r="P20" s="40"/>
      <x:c r="Q20" s="25"/>
    </x:row>
    <x:row r="21" ht="22" customHeight="1">
      <x:c r="A21" s="25"/>
      <x:c r="B21" s="40"/>
      <x:c r="C21" s="40"/>
      <x:c r="D21" s="40"/>
      <x:c r="E21" s="40"/>
      <x:c r="F21" s="40"/>
      <x:c r="G21" s="40"/>
      <x:c r="H21" s="40"/>
      <x:c r="I21" s="25"/>
      <x:c r="J21" s="40"/>
      <x:c r="K21" s="40"/>
      <x:c r="L21" s="40"/>
      <x:c r="M21" s="40"/>
      <x:c r="N21" s="40"/>
      <x:c r="O21" s="40"/>
      <x:c r="P21" s="40"/>
      <x:c r="Q21" s="25"/>
    </x:row>
    <x:row r="22" ht="22" customHeight="1">
      <x:c r="A22" s="25"/>
      <x:c r="B22" s="40"/>
      <x:c r="C22" s="40"/>
      <x:c r="D22" s="40"/>
      <x:c r="E22" s="40"/>
      <x:c r="F22" s="40"/>
      <x:c r="G22" s="40"/>
      <x:c r="H22" s="40"/>
      <x:c r="I22" s="25"/>
      <x:c r="J22" s="40"/>
      <x:c r="K22" s="40"/>
      <x:c r="L22" s="40"/>
      <x:c r="M22" s="40"/>
      <x:c r="N22" s="40"/>
      <x:c r="O22" s="40"/>
      <x:c r="P22" s="40"/>
      <x:c r="Q22" s="25"/>
    </x:row>
    <x:row r="23" ht="22" customHeight="1">
      <x:c r="A23" s="25"/>
      <x:c r="B23" s="40"/>
      <x:c r="C23" s="40"/>
      <x:c r="D23" s="40"/>
      <x:c r="E23" s="40"/>
      <x:c r="F23" s="40"/>
      <x:c r="G23" s="40"/>
      <x:c r="H23" s="40"/>
      <x:c r="I23" s="25"/>
      <x:c r="J23" s="40"/>
      <x:c r="K23" s="40"/>
      <x:c r="L23" s="40"/>
      <x:c r="M23" s="40"/>
      <x:c r="N23" s="40"/>
      <x:c r="O23" s="40"/>
      <x:c r="P23" s="40"/>
      <x:c r="Q23" s="25"/>
    </x:row>
    <x:row r="24" ht="22" customHeight="1">
      <x:c r="A24" s="25"/>
      <x:c r="B24" s="40"/>
      <x:c r="C24" s="40"/>
      <x:c r="D24" s="40"/>
      <x:c r="E24" s="40"/>
      <x:c r="F24" s="40"/>
      <x:c r="G24" s="40"/>
      <x:c r="H24" s="40"/>
      <x:c r="I24" s="25"/>
      <x:c r="J24" s="40"/>
      <x:c r="K24" s="40"/>
      <x:c r="L24" s="40"/>
      <x:c r="M24" s="40"/>
      <x:c r="N24" s="40"/>
      <x:c r="O24" s="40"/>
      <x:c r="P24" s="40"/>
      <x:c r="Q24" s="25"/>
    </x:row>
    <x:row r="25" ht="22" customHeight="1">
      <x:c r="A25" s="25"/>
      <x:c r="B25" s="40"/>
      <x:c r="C25" s="40"/>
      <x:c r="D25" s="40"/>
      <x:c r="E25" s="40"/>
      <x:c r="F25" s="40"/>
      <x:c r="G25" s="40"/>
      <x:c r="H25" s="40"/>
      <x:c r="I25" s="25"/>
      <x:c r="J25" s="40"/>
      <x:c r="K25" s="40"/>
      <x:c r="L25" s="40"/>
      <x:c r="M25" s="40"/>
      <x:c r="N25" s="40"/>
      <x:c r="O25" s="40"/>
      <x:c r="P25" s="40"/>
      <x:c r="Q25" s="25"/>
    </x:row>
    <x:row r="26" ht="22" customHeight="1">
      <x:c r="A26" s="25"/>
      <x:c r="B26" s="40"/>
      <x:c r="C26" s="40"/>
      <x:c r="D26" s="40"/>
      <x:c r="E26" s="40"/>
      <x:c r="F26" s="40"/>
      <x:c r="G26" s="40"/>
      <x:c r="H26" s="40"/>
      <x:c r="I26" s="25"/>
      <x:c r="J26" s="40"/>
      <x:c r="K26" s="40"/>
      <x:c r="L26" s="40"/>
      <x:c r="M26" s="40"/>
      <x:c r="N26" s="40"/>
      <x:c r="O26" s="40"/>
      <x:c r="P26" s="40"/>
      <x:c r="Q26" s="25"/>
    </x:row>
    <x:row r="27" ht="22" customHeight="1">
      <x:c r="A27" s="25"/>
      <x:c r="B27" s="40"/>
      <x:c r="C27" s="40"/>
      <x:c r="D27" s="40"/>
      <x:c r="E27" s="40"/>
      <x:c r="F27" s="40"/>
      <x:c r="G27" s="40"/>
      <x:c r="H27" s="40"/>
      <x:c r="I27" s="25"/>
      <x:c r="J27" s="40"/>
      <x:c r="K27" s="40"/>
      <x:c r="L27" s="40"/>
      <x:c r="M27" s="40"/>
      <x:c r="N27" s="40"/>
      <x:c r="O27" s="40"/>
      <x:c r="P27" s="40"/>
      <x:c r="Q27" s="25"/>
    </x:row>
    <x:row r="28" ht="22" customHeight="1">
      <x:c r="A28" s="25"/>
      <x:c r="B28" s="40"/>
      <x:c r="C28" s="40"/>
      <x:c r="D28" s="40"/>
      <x:c r="E28" s="40"/>
      <x:c r="F28" s="40"/>
      <x:c r="G28" s="40"/>
      <x:c r="H28" s="40"/>
      <x:c r="I28" s="25"/>
      <x:c r="J28" s="40"/>
      <x:c r="K28" s="40"/>
      <x:c r="L28" s="40"/>
      <x:c r="M28" s="40"/>
      <x:c r="N28" s="40"/>
      <x:c r="O28" s="40"/>
      <x:c r="P28" s="40"/>
      <x:c r="Q28" s="25"/>
    </x:row>
    <x:row r="29" ht="22" customHeight="1">
      <x:c r="A29" s="25"/>
      <x:c r="B29" s="40"/>
      <x:c r="C29" s="40"/>
      <x:c r="D29" s="40"/>
      <x:c r="E29" s="40"/>
      <x:c r="F29" s="40"/>
      <x:c r="G29" s="40"/>
      <x:c r="H29" s="40"/>
      <x:c r="I29" s="25"/>
      <x:c r="J29" s="40"/>
      <x:c r="K29" s="40"/>
      <x:c r="L29" s="40"/>
      <x:c r="M29" s="40"/>
      <x:c r="N29" s="40"/>
      <x:c r="O29" s="40"/>
      <x:c r="P29" s="40"/>
      <x:c r="Q29" s="25"/>
    </x:row>
    <x:row r="30" ht="22" customHeight="1">
      <x:c r="A30" s="25"/>
      <x:c r="B30" s="40"/>
      <x:c r="C30" s="40"/>
      <x:c r="D30" s="40"/>
      <x:c r="E30" s="40"/>
      <x:c r="F30" s="40"/>
      <x:c r="G30" s="40"/>
      <x:c r="H30" s="40"/>
      <x:c r="I30" s="25"/>
      <x:c r="J30" s="40"/>
      <x:c r="K30" s="40"/>
      <x:c r="L30" s="40"/>
      <x:c r="M30" s="40"/>
      <x:c r="N30" s="40"/>
      <x:c r="O30" s="40"/>
      <x:c r="P30" s="40"/>
      <x:c r="Q30" s="25"/>
    </x:row>
    <x:row r="31" ht="22" customHeight="1">
      <x:c r="A31" s="25"/>
      <x:c r="B31" s="40"/>
      <x:c r="C31" s="40"/>
      <x:c r="D31" s="40"/>
      <x:c r="E31" s="40"/>
      <x:c r="F31" s="40"/>
      <x:c r="G31" s="40"/>
      <x:c r="H31" s="40"/>
      <x:c r="I31" s="25"/>
      <x:c r="J31" s="40"/>
      <x:c r="K31" s="40"/>
      <x:c r="L31" s="40"/>
      <x:c r="M31" s="40"/>
      <x:c r="N31" s="40"/>
      <x:c r="O31" s="40"/>
      <x:c r="P31" s="40"/>
      <x:c r="Q31" s="25"/>
    </x:row>
    <x:row r="32" ht="22" customHeight="1">
      <x:c r="A32" s="25"/>
      <x:c r="B32" s="40"/>
      <x:c r="C32" s="40"/>
      <x:c r="D32" s="40"/>
      <x:c r="E32" s="40"/>
      <x:c r="F32" s="40"/>
      <x:c r="G32" s="40"/>
      <x:c r="H32" s="40"/>
      <x:c r="I32" s="25"/>
      <x:c r="J32" s="40"/>
      <x:c r="K32" s="40"/>
      <x:c r="L32" s="40"/>
      <x:c r="M32" s="40"/>
      <x:c r="N32" s="40"/>
      <x:c r="O32" s="40"/>
      <x:c r="P32" s="40"/>
      <x:c r="Q32" s="25"/>
    </x:row>
    <x:row r="33" ht="22" customHeight="1">
      <x:c r="A33" s="25"/>
      <x:c r="B33" s="40"/>
      <x:c r="C33" s="40"/>
      <x:c r="D33" s="40"/>
      <x:c r="E33" s="40"/>
      <x:c r="F33" s="40"/>
      <x:c r="G33" s="40"/>
      <x:c r="H33" s="40"/>
      <x:c r="I33" s="25"/>
      <x:c r="J33" s="40"/>
      <x:c r="K33" s="40"/>
      <x:c r="L33" s="40"/>
      <x:c r="M33" s="40"/>
      <x:c r="N33" s="40"/>
      <x:c r="O33" s="40"/>
      <x:c r="P33" s="40"/>
      <x:c r="Q33" s="25"/>
    </x:row>
    <x:row r="34" ht="22" customHeight="1">
      <x:c r="A34" s="25"/>
      <x:c r="B34" s="40"/>
      <x:c r="C34" s="40"/>
      <x:c r="D34" s="40"/>
      <x:c r="E34" s="40"/>
      <x:c r="F34" s="40"/>
      <x:c r="G34" s="40"/>
      <x:c r="H34" s="40"/>
      <x:c r="I34" s="25"/>
      <x:c r="J34" s="40"/>
      <x:c r="K34" s="40"/>
      <x:c r="L34" s="40"/>
      <x:c r="M34" s="40"/>
      <x:c r="N34" s="40"/>
      <x:c r="O34" s="40"/>
      <x:c r="P34" s="40"/>
      <x:c r="Q34" s="25"/>
    </x:row>
    <x:row r="35" ht="22" customHeight="1">
      <x:c r="A35" s="25"/>
      <x:c r="B35" s="40"/>
      <x:c r="C35" s="40"/>
      <x:c r="D35" s="40"/>
      <x:c r="E35" s="40"/>
      <x:c r="F35" s="40"/>
      <x:c r="G35" s="40"/>
      <x:c r="H35" s="40"/>
      <x:c r="I35" s="25"/>
      <x:c r="J35" s="40"/>
      <x:c r="K35" s="40"/>
      <x:c r="L35" s="40"/>
      <x:c r="M35" s="40"/>
      <x:c r="N35" s="40"/>
      <x:c r="O35" s="40"/>
      <x:c r="P35" s="40"/>
      <x:c r="Q35" s="25"/>
    </x:row>
    <x:row r="36" ht="22" customHeight="1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</x:row>
    <x:row r="37" ht="22" customHeight="1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</x:row>
    <x:row r="38" ht="28" customHeight="1">
      <x:c r="A38" s="25"/>
      <x:c r="B38" s="51" t="str">
        <x:v>ASSINATURAS POR PERIODICIDADE</x:v>
      </x:c>
      <x:c r="C38" s="51"/>
      <x:c r="D38" s="51"/>
      <x:c r="E38" s="51"/>
      <x:c r="F38" s="51"/>
      <x:c r="G38" s="51"/>
      <x:c r="H38" s="51"/>
      <x:c r="I38" s="25"/>
      <x:c r="J38" s="51" t="str">
        <x:v>RENOVAÇÃO AUTOMÁTICA</x:v>
      </x:c>
      <x:c r="K38" s="51"/>
      <x:c r="L38" s="51"/>
      <x:c r="M38" s="51"/>
      <x:c r="N38" s="51"/>
      <x:c r="O38" s="51"/>
      <x:c r="P38" s="51"/>
      <x:c r="Q38" s="25"/>
    </x:row>
    <x:row r="39" ht="22" customHeight="1">
      <x:c r="A39" s="25"/>
      <x:c r="B39" s="40"/>
      <x:c r="C39" s="40"/>
      <x:c r="D39" s="40"/>
      <x:c r="E39" s="40"/>
      <x:c r="F39" s="40"/>
      <x:c r="G39" s="40"/>
      <x:c r="H39" s="40"/>
      <x:c r="I39" s="25"/>
      <x:c r="J39" s="40"/>
      <x:c r="K39" s="40"/>
      <x:c r="L39" s="40"/>
      <x:c r="M39" s="40"/>
      <x:c r="N39" s="40"/>
      <x:c r="O39" s="40"/>
      <x:c r="P39" s="40"/>
      <x:c r="Q39" s="25"/>
    </x:row>
    <x:row r="40" ht="22" customHeight="1">
      <x:c r="A40" s="25"/>
      <x:c r="B40" s="40"/>
      <x:c r="C40" s="40"/>
      <x:c r="D40" s="40"/>
      <x:c r="E40" s="40"/>
      <x:c r="F40" s="40"/>
      <x:c r="G40" s="40"/>
      <x:c r="H40" s="40"/>
      <x:c r="I40" s="25"/>
      <x:c r="J40" s="40"/>
      <x:c r="K40" s="40"/>
      <x:c r="L40" s="40"/>
      <x:c r="M40" s="40"/>
      <x:c r="N40" s="40"/>
      <x:c r="O40" s="40"/>
      <x:c r="P40" s="40"/>
      <x:c r="Q40" s="25"/>
    </x:row>
    <x:row r="41" ht="22" customHeight="1">
      <x:c r="A41" s="25"/>
      <x:c r="B41" s="40"/>
      <x:c r="C41" s="40"/>
      <x:c r="D41" s="40"/>
      <x:c r="E41" s="40"/>
      <x:c r="F41" s="40"/>
      <x:c r="G41" s="40"/>
      <x:c r="H41" s="40"/>
      <x:c r="I41" s="25"/>
      <x:c r="J41" s="40"/>
      <x:c r="K41" s="40"/>
      <x:c r="L41" s="40"/>
      <x:c r="M41" s="40"/>
      <x:c r="N41" s="40"/>
      <x:c r="O41" s="40"/>
      <x:c r="P41" s="40"/>
      <x:c r="Q41" s="25"/>
    </x:row>
    <x:row r="42" ht="22" customHeight="1">
      <x:c r="A42" s="25"/>
      <x:c r="B42" s="40"/>
      <x:c r="C42" s="40"/>
      <x:c r="D42" s="40"/>
      <x:c r="E42" s="40"/>
      <x:c r="F42" s="40"/>
      <x:c r="G42" s="40"/>
      <x:c r="H42" s="40"/>
      <x:c r="I42" s="25"/>
      <x:c r="J42" s="40"/>
      <x:c r="K42" s="40"/>
      <x:c r="L42" s="40"/>
      <x:c r="M42" s="40"/>
      <x:c r="N42" s="40"/>
      <x:c r="O42" s="40"/>
      <x:c r="P42" s="40"/>
      <x:c r="Q42" s="25"/>
    </x:row>
    <x:row r="43" ht="22" customHeight="1">
      <x:c r="A43" s="25"/>
      <x:c r="B43" s="40"/>
      <x:c r="C43" s="40"/>
      <x:c r="D43" s="40"/>
      <x:c r="E43" s="40"/>
      <x:c r="F43" s="40"/>
      <x:c r="G43" s="40"/>
      <x:c r="H43" s="40"/>
      <x:c r="I43" s="25"/>
      <x:c r="J43" s="40"/>
      <x:c r="K43" s="40"/>
      <x:c r="L43" s="40"/>
      <x:c r="M43" s="40"/>
      <x:c r="N43" s="40"/>
      <x:c r="O43" s="40"/>
      <x:c r="P43" s="40"/>
      <x:c r="Q43" s="25"/>
    </x:row>
    <x:row r="44" ht="22" customHeight="1">
      <x:c r="A44" s="25"/>
      <x:c r="B44" s="40"/>
      <x:c r="C44" s="40"/>
      <x:c r="D44" s="40"/>
      <x:c r="E44" s="40"/>
      <x:c r="F44" s="40"/>
      <x:c r="G44" s="40"/>
      <x:c r="H44" s="40"/>
      <x:c r="I44" s="25"/>
      <x:c r="J44" s="40"/>
      <x:c r="K44" s="40"/>
      <x:c r="L44" s="40"/>
      <x:c r="M44" s="40"/>
      <x:c r="N44" s="40"/>
      <x:c r="O44" s="40"/>
      <x:c r="P44" s="40"/>
      <x:c r="Q44" s="25"/>
    </x:row>
    <x:row r="45" ht="22" customHeight="1">
      <x:c r="A45" s="25"/>
      <x:c r="B45" s="40"/>
      <x:c r="C45" s="40"/>
      <x:c r="D45" s="40"/>
      <x:c r="E45" s="40"/>
      <x:c r="F45" s="40"/>
      <x:c r="G45" s="40"/>
      <x:c r="H45" s="40"/>
      <x:c r="I45" s="25"/>
      <x:c r="J45" s="40"/>
      <x:c r="K45" s="40"/>
      <x:c r="L45" s="40"/>
      <x:c r="M45" s="40"/>
      <x:c r="N45" s="40"/>
      <x:c r="O45" s="40"/>
      <x:c r="P45" s="40"/>
      <x:c r="Q45" s="25"/>
    </x:row>
    <x:row r="46" ht="22" customHeight="1">
      <x:c r="A46" s="25"/>
      <x:c r="B46" s="40"/>
      <x:c r="C46" s="40"/>
      <x:c r="D46" s="40"/>
      <x:c r="E46" s="40"/>
      <x:c r="F46" s="40"/>
      <x:c r="G46" s="40"/>
      <x:c r="H46" s="40"/>
      <x:c r="I46" s="25"/>
      <x:c r="J46" s="40"/>
      <x:c r="K46" s="40"/>
      <x:c r="L46" s="40"/>
      <x:c r="M46" s="40"/>
      <x:c r="N46" s="40"/>
      <x:c r="O46" s="40"/>
      <x:c r="P46" s="40"/>
      <x:c r="Q46" s="25"/>
    </x:row>
    <x:row r="47" ht="22" customHeight="1">
      <x:c r="A47" s="25"/>
      <x:c r="B47" s="40"/>
      <x:c r="C47" s="40"/>
      <x:c r="D47" s="40"/>
      <x:c r="E47" s="40"/>
      <x:c r="F47" s="40"/>
      <x:c r="G47" s="40"/>
      <x:c r="H47" s="40"/>
      <x:c r="I47" s="25"/>
      <x:c r="J47" s="40"/>
      <x:c r="K47" s="40"/>
      <x:c r="L47" s="40"/>
      <x:c r="M47" s="40"/>
      <x:c r="N47" s="40"/>
      <x:c r="O47" s="40"/>
      <x:c r="P47" s="40"/>
      <x:c r="Q47" s="25"/>
    </x:row>
    <x:row r="48" ht="22" customHeight="1">
      <x:c r="A48" s="25"/>
      <x:c r="B48" s="40"/>
      <x:c r="C48" s="40"/>
      <x:c r="D48" s="40"/>
      <x:c r="E48" s="40"/>
      <x:c r="F48" s="40"/>
      <x:c r="G48" s="40"/>
      <x:c r="H48" s="40"/>
      <x:c r="I48" s="25"/>
      <x:c r="J48" s="40"/>
      <x:c r="K48" s="40"/>
      <x:c r="L48" s="40"/>
      <x:c r="M48" s="40"/>
      <x:c r="N48" s="40"/>
      <x:c r="O48" s="40"/>
      <x:c r="P48" s="40"/>
      <x:c r="Q48" s="25"/>
    </x:row>
    <x:row r="49" ht="22" customHeight="1">
      <x:c r="A49" s="25"/>
      <x:c r="B49" s="40"/>
      <x:c r="C49" s="40"/>
      <x:c r="D49" s="40"/>
      <x:c r="E49" s="40"/>
      <x:c r="F49" s="40"/>
      <x:c r="G49" s="40"/>
      <x:c r="H49" s="40"/>
      <x:c r="I49" s="25"/>
      <x:c r="J49" s="40"/>
      <x:c r="K49" s="40"/>
      <x:c r="L49" s="40"/>
      <x:c r="M49" s="40"/>
      <x:c r="N49" s="40"/>
      <x:c r="O49" s="40"/>
      <x:c r="P49" s="40"/>
      <x:c r="Q49" s="25"/>
    </x:row>
    <x:row r="50" ht="22" customHeight="1">
      <x:c r="A50" s="25"/>
      <x:c r="B50" s="40"/>
      <x:c r="C50" s="40"/>
      <x:c r="D50" s="40"/>
      <x:c r="E50" s="40"/>
      <x:c r="F50" s="40"/>
      <x:c r="G50" s="40"/>
      <x:c r="H50" s="40"/>
      <x:c r="I50" s="25"/>
      <x:c r="J50" s="40"/>
      <x:c r="K50" s="40"/>
      <x:c r="L50" s="40"/>
      <x:c r="M50" s="40"/>
      <x:c r="N50" s="40"/>
      <x:c r="O50" s="40"/>
      <x:c r="P50" s="40"/>
      <x:c r="Q50" s="25"/>
    </x:row>
    <x:row r="51" ht="22" customHeight="1">
      <x:c r="A51" s="25"/>
      <x:c r="B51" s="40"/>
      <x:c r="C51" s="40"/>
      <x:c r="D51" s="40"/>
      <x:c r="E51" s="40"/>
      <x:c r="F51" s="40"/>
      <x:c r="G51" s="40"/>
      <x:c r="H51" s="40"/>
      <x:c r="I51" s="25"/>
      <x:c r="J51" s="40"/>
      <x:c r="K51" s="40"/>
      <x:c r="L51" s="40"/>
      <x:c r="M51" s="40"/>
      <x:c r="N51" s="40"/>
      <x:c r="O51" s="40"/>
      <x:c r="P51" s="40"/>
      <x:c r="Q51" s="25"/>
    </x:row>
    <x:row r="52" ht="22" customHeight="1">
      <x:c r="A52" s="25"/>
      <x:c r="B52" s="40"/>
      <x:c r="C52" s="40"/>
      <x:c r="D52" s="40"/>
      <x:c r="E52" s="40"/>
      <x:c r="F52" s="40"/>
      <x:c r="G52" s="40"/>
      <x:c r="H52" s="40"/>
      <x:c r="I52" s="25"/>
      <x:c r="J52" s="40"/>
      <x:c r="K52" s="40"/>
      <x:c r="L52" s="40"/>
      <x:c r="M52" s="40"/>
      <x:c r="N52" s="40"/>
      <x:c r="O52" s="40"/>
      <x:c r="P52" s="40"/>
      <x:c r="Q52" s="25"/>
    </x:row>
    <x:row r="53" ht="22" customHeight="1">
      <x:c r="A53" s="25"/>
      <x:c r="B53" s="40"/>
      <x:c r="C53" s="40"/>
      <x:c r="D53" s="40"/>
      <x:c r="E53" s="40"/>
      <x:c r="F53" s="40"/>
      <x:c r="G53" s="40"/>
      <x:c r="H53" s="40"/>
      <x:c r="I53" s="25"/>
      <x:c r="J53" s="40"/>
      <x:c r="K53" s="40"/>
      <x:c r="L53" s="40"/>
      <x:c r="M53" s="40"/>
      <x:c r="N53" s="40"/>
      <x:c r="O53" s="40"/>
      <x:c r="P53" s="40"/>
      <x:c r="Q53" s="25"/>
    </x:row>
    <x:row r="54" ht="22" customHeight="1">
      <x:c r="A54" s="25"/>
      <x:c r="B54" s="40"/>
      <x:c r="C54" s="40"/>
      <x:c r="D54" s="40"/>
      <x:c r="E54" s="40"/>
      <x:c r="F54" s="40"/>
      <x:c r="G54" s="40"/>
      <x:c r="H54" s="40"/>
      <x:c r="I54" s="25"/>
      <x:c r="J54" s="40"/>
      <x:c r="K54" s="40"/>
      <x:c r="L54" s="40"/>
      <x:c r="M54" s="40"/>
      <x:c r="N54" s="40"/>
      <x:c r="O54" s="40"/>
      <x:c r="P54" s="40"/>
      <x:c r="Q54" s="25"/>
    </x:row>
    <x:row r="55" ht="22" customHeight="1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</x:row>
    <x:row r="56" ht="22" customHeight="1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</x:row>
    <x:row r="57" ht="28" customHeight="1">
      <x:c r="A57" s="25"/>
      <x:c r="B57" s="105" t="str">
        <x:v>COMO LER OS INDICADORES</x:v>
      </x:c>
      <x:c r="C57" s="101"/>
      <x:c r="D57" s="101"/>
      <x:c r="E57" s="101"/>
      <x:c r="F57" s="101"/>
      <x:c r="G57" s="101"/>
      <x:c r="H57" s="101"/>
      <x:c r="I57" s="101"/>
      <x:c r="J57" s="101"/>
      <x:c r="K57" s="101"/>
      <x:c r="L57" s="101"/>
      <x:c r="M57" s="101"/>
      <x:c r="N57" s="101"/>
      <x:c r="O57" s="101"/>
      <x:c r="P57" s="101"/>
      <x:c r="Q57" s="25"/>
    </x:row>
    <x:row r="58" ht="25" customHeight="1">
      <x:c r="A58" s="25"/>
      <x:c r="B58" s="108" t="str">
        <x:v>O valor total considera plano + adicionais EA Play e Minecraft − cupons. A moeda não foi identificada na base original (u.m. = unidades monetárias).</x:v>
      </x:c>
      <x:c r="C58" s="101"/>
      <x:c r="D58" s="101"/>
      <x:c r="E58" s="101"/>
      <x:c r="F58" s="101"/>
      <x:c r="G58" s="101"/>
      <x:c r="H58" s="101"/>
      <x:c r="I58" s="101"/>
      <x:c r="J58" s="101"/>
      <x:c r="K58" s="101"/>
      <x:c r="L58" s="101"/>
      <x:c r="M58" s="101"/>
      <x:c r="N58" s="101"/>
      <x:c r="O58" s="101"/>
      <x:c r="P58" s="101"/>
      <x:c r="Q58" s="25"/>
    </x:row>
    <x:row r="59" ht="25" customHeight="1">
      <x:c r="A59" s="25"/>
      <x:c r="B59" s="101"/>
      <x:c r="C59" s="101"/>
      <x:c r="D59" s="101"/>
      <x:c r="E59" s="101"/>
      <x:c r="F59" s="101"/>
      <x:c r="G59" s="101"/>
      <x:c r="H59" s="101"/>
      <x:c r="I59" s="101"/>
      <x:c r="J59" s="101"/>
      <x:c r="K59" s="101"/>
      <x:c r="L59" s="101"/>
      <x:c r="M59" s="101"/>
      <x:c r="N59" s="101"/>
      <x:c r="O59" s="101"/>
      <x:c r="P59" s="101"/>
      <x:c r="Q59" s="25"/>
    </x:row>
    <x:row r="60" ht="25" customHeight="1">
      <x:c r="A60" s="25"/>
      <x:c r="B60" s="108" t="str">
        <x:v>O eixo temporal representa o mês de início da assinatura — não o fluxo de caixa recorrente. Filtros aplicam-se aos gráficos e aos KPIs, exceto à conferência geral da base.</x:v>
      </x:c>
      <x:c r="C60" s="101"/>
      <x:c r="D60" s="101"/>
      <x:c r="E60" s="101"/>
      <x:c r="F60" s="101"/>
      <x:c r="G60" s="101"/>
      <x:c r="H60" s="101"/>
      <x:c r="I60" s="101"/>
      <x:c r="J60" s="101"/>
      <x:c r="K60" s="101"/>
      <x:c r="L60" s="101"/>
      <x:c r="M60" s="101"/>
      <x:c r="N60" s="101"/>
      <x:c r="O60" s="101"/>
      <x:c r="P60" s="101"/>
      <x:c r="Q60" s="25"/>
    </x:row>
    <x:row r="61" ht="25" customHeight="1">
      <x:c r="A61" s="25"/>
      <x:c r="B61" s="101"/>
      <x:c r="C61" s="101"/>
      <x:c r="D61" s="101"/>
      <x:c r="E61" s="101"/>
      <x:c r="F61" s="101"/>
      <x:c r="G61" s="101"/>
      <x:c r="H61" s="101"/>
      <x:c r="I61" s="101"/>
      <x:c r="J61" s="101"/>
      <x:c r="K61" s="101"/>
      <x:c r="L61" s="101"/>
      <x:c r="M61" s="101"/>
      <x:c r="N61" s="101"/>
      <x:c r="O61" s="101"/>
      <x:c r="P61" s="101"/>
      <x:c r="Q61" s="25"/>
    </x:row>
    <x:row r="62" ht="22" customHeight="1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</x:row>
    <x:row r="63" ht="22" customHeight="1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</x:row>
    <x:row r="64" ht="22" customHeight="1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</x:row>
    <x:row r="65" ht="22" customHeight="1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</x:row>
    <x:row r="66" ht="22" customHeight="1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</x:row>
  </x:sheetData>
  <x:mergeCells>
    <x:mergeCell ref="B2:P3"/>
    <x:mergeCell ref="B4:P4"/>
    <x:mergeCell ref="B6:D6"/>
    <x:mergeCell ref="J6:L6"/>
    <x:mergeCell ref="E7:H7"/>
    <x:mergeCell ref="B10:D10"/>
    <x:mergeCell ref="B11:D13"/>
    <x:mergeCell ref="F10:H10"/>
    <x:mergeCell ref="F11:H13"/>
    <x:mergeCell ref="J10:L10"/>
    <x:mergeCell ref="J11:L13"/>
    <x:mergeCell ref="N10:P10"/>
    <x:mergeCell ref="N11:P13"/>
    <x:mergeCell ref="B15:D15"/>
    <x:mergeCell ref="B16:D17"/>
    <x:mergeCell ref="F15:H15"/>
    <x:mergeCell ref="F16:H17"/>
    <x:mergeCell ref="J15:L15"/>
    <x:mergeCell ref="J16:L17"/>
    <x:mergeCell ref="N15:P15"/>
    <x:mergeCell ref="N16:P17"/>
    <x:mergeCell ref="B19:H19"/>
    <x:mergeCell ref="J19:P19"/>
    <x:mergeCell ref="B38:H38"/>
    <x:mergeCell ref="J38:P38"/>
    <x:mergeCell ref="B57:P57"/>
    <x:mergeCell ref="B58:P59"/>
    <x:mergeCell ref="B60:P61"/>
  </x:mergeCells>
  <x:dataValidations count="2">
    <x:dataValidation type="list" sqref="C7">
      <x:formula1>"Todos,Core,Standard,Ultimate"</x:formula1>
    </x:dataValidation>
    <x:dataValidation type="list" sqref="K7">
      <x:formula1>"Todas,Mensal,Trimestral,Anual"</x:formula1>
    </x:dataValidation>
  </x:dataValidations>
  <x:pageMargins left="0.7" right="0.7" top="0.75" bottom="0.75" header="0.3" footer="0.3"/>
  <x:drawing xmlns:r="http://schemas.openxmlformats.org/officeDocument/2006/relationships" r:id="R5aed79378e0d4fb1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23" hidden="0" customWidth="1"/>
    <x:col min="4" max="4" width="22" hidden="0" customWidth="1"/>
    <x:col min="5" max="5" width="19" hidden="0" customWidth="1"/>
    <x:col min="6" max="6" width="16" hidden="0" customWidth="1"/>
    <x:col min="7" max="7" width="12" hidden="0" customWidth="1"/>
    <x:col min="8" max="8" width="22" hidden="0" customWidth="1"/>
    <x:col min="9" max="9" width="13" hidden="0" customWidth="1"/>
    <x:col min="10" max="10" width="22" hidden="0" customWidth="1"/>
    <x:col min="11" max="11" width="18" hidden="0" customWidth="1"/>
    <x:col min="12" max="12" width="22" hidden="0" customWidth="1"/>
    <x:col min="13" max="13" width="18" hidden="0" customWidth="1"/>
    <x:col min="14" max="14" width="16" hidden="0" customWidth="1"/>
  </x:cols>
  <x:sheetData>
    <x:row r="1" ht="43" customHeight="1">
      <x:c r="A1" s="5" t="str">
        <x:v>ID ASSINANTE</x:v>
      </x:c>
      <x:c r="B1" s="5" t="str">
        <x:v>PLANO</x:v>
      </x:c>
      <x:c r="C1" s="5" t="str">
        <x:v>INÍCIO DA ASSINATURA</x:v>
      </x:c>
      <x:c r="D1" s="5" t="str">
        <x:v>RENOVAÇÃO AUTOMÁTICA</x:v>
      </x:c>
      <x:c r="E1" s="5" t="str">
        <x:v>VALOR PLANO (u.m.)</x:v>
      </x:c>
      <x:c r="F1" s="5" t="str">
        <x:v>PERIODICIDADE</x:v>
      </x:c>
      <x:c r="G1" s="5" t="str">
        <x:v>EA PLAY</x:v>
      </x:c>
      <x:c r="H1" s="5" t="str">
        <x:v>VALOR EA PLAY (u.m.)</x:v>
      </x:c>
      <x:c r="I1" s="5" t="str">
        <x:v>MINECRAFT</x:v>
      </x:c>
      <x:c r="J1" s="5" t="str">
        <x:v>VALOR MINECRAFT (u.m.)</x:v>
      </x:c>
      <x:c r="K1" s="5" t="str">
        <x:v>CUPOM (u.m.)</x:v>
      </x:c>
      <x:c r="L1" s="5" t="str">
        <x:v>VALOR TOTAL (u.m.)</x:v>
      </x:c>
      <x:c r="M1" s="5" t="str">
        <x:v>MÊS DE INÍCIO</x:v>
      </x:c>
      <x:c r="N1" s="5" t="str">
        <x:v>CONFERÊNCIA</x:v>
      </x:c>
    </x:row>
    <x:row r="2" ht="22" customHeight="1">
      <x:c r="A2" t="n">
        <x:v>3231</x:v>
      </x:c>
      <x:c r="B2" t="str">
        <x:v>Ultimate</x:v>
      </x:c>
      <x:c r="C2" s="10" t="n">
        <x:v>45292</x:v>
      </x:c>
      <x:c r="D2" t="str">
        <x:v>Sim</x:v>
      </x:c>
      <x:c r="E2" s="14" t="n">
        <x:v>15</x:v>
      </x:c>
      <x:c r="F2" t="str">
        <x:v>Mensal</x:v>
      </x:c>
      <x:c r="G2" t="str">
        <x:v>Sim</x:v>
      </x:c>
      <x:c r="H2" s="14" t="n">
        <x:v>30</x:v>
      </x:c>
      <x:c r="I2" t="str">
        <x:v>Sim</x:v>
      </x:c>
      <x:c r="J2" s="14" t="n">
        <x:v>20</x:v>
      </x:c>
      <x:c r="K2" s="14" t="n">
        <x:v>5</x:v>
      </x:c>
      <x:c r="L2" s="14" t="n">
        <x:v>60</x:v>
      </x:c>
      <x:c r="M2" s="12" t="n">
        <x:f>DATE(YEAR(C2),MONTH(C2),1)</x:f>
        <x:v>45292</x:v>
      </x:c>
      <x:c r="N2" t="str">
        <x:f>IF(ABS(E2+H2+J2-K2-L2)&lt;0.001,"OK","REVER")</x:f>
        <x:v>OK</x:v>
      </x:c>
    </x:row>
    <x:row r="3" ht="22" customHeight="1">
      <x:c r="A3" t="n">
        <x:v>3232</x:v>
      </x:c>
      <x:c r="B3" t="str">
        <x:v>Core</x:v>
      </x:c>
      <x:c r="C3" s="10" t="n">
        <x:v>45306</x:v>
      </x:c>
      <x:c r="D3" t="str">
        <x:v>Não</x:v>
      </x:c>
      <x:c r="E3" s="14" t="n">
        <x:v>5</x:v>
      </x:c>
      <x:c r="F3" t="str">
        <x:v>Anual</x:v>
      </x:c>
      <x:c r="G3" t="str">
        <x:v>Não</x:v>
      </x:c>
      <x:c r="H3" s="14" t="n">
        <x:v>0</x:v>
      </x:c>
      <x:c r="I3" t="str">
        <x:v>Não</x:v>
      </x:c>
      <x:c r="J3" s="14" t="n">
        <x:v>0</x:v>
      </x:c>
      <x:c r="K3" s="14" t="n">
        <x:v>0</x:v>
      </x:c>
      <x:c r="L3" s="14" t="n">
        <x:v>5</x:v>
      </x:c>
      <x:c r="M3" s="12" t="n">
        <x:f>DATE(YEAR(C3),MONTH(C3),1)</x:f>
        <x:v>45292</x:v>
      </x:c>
      <x:c r="N3" t="str">
        <x:f>IF(ABS(E3+H3+J3-K3-L3)&lt;0.001,"OK","REVER")</x:f>
        <x:v>OK</x:v>
      </x:c>
    </x:row>
    <x:row r="4" ht="22" customHeight="1">
      <x:c r="A4" t="n">
        <x:v>3233</x:v>
      </x:c>
      <x:c r="B4" t="str">
        <x:v>Standard</x:v>
      </x:c>
      <x:c r="C4" s="10" t="n">
        <x:v>45332</x:v>
      </x:c>
      <x:c r="D4" t="str">
        <x:v>Sim</x:v>
      </x:c>
      <x:c r="E4" s="14" t="n">
        <x:v>10</x:v>
      </x:c>
      <x:c r="F4" t="str">
        <x:v>Trimestral</x:v>
      </x:c>
      <x:c r="G4" t="str">
        <x:v>Não</x:v>
      </x:c>
      <x:c r="H4" s="14" t="n">
        <x:v>0</x:v>
      </x:c>
      <x:c r="I4" t="str">
        <x:v>Sim</x:v>
      </x:c>
      <x:c r="J4" s="14" t="n">
        <x:v>20</x:v>
      </x:c>
      <x:c r="K4" s="14" t="n">
        <x:v>10</x:v>
      </x:c>
      <x:c r="L4" s="14" t="n">
        <x:v>20</x:v>
      </x:c>
      <x:c r="M4" s="12" t="n">
        <x:f>DATE(YEAR(C4),MONTH(C4),1)</x:f>
        <x:v>45323</x:v>
      </x:c>
      <x:c r="N4" t="str">
        <x:f>IF(ABS(E4+H4+J4-K4-L4)&lt;0.001,"OK","REVER")</x:f>
        <x:v>OK</x:v>
      </x:c>
    </x:row>
    <x:row r="5" ht="22" customHeight="1">
      <x:c r="A5" t="n">
        <x:v>3234</x:v>
      </x:c>
      <x:c r="B5" t="str">
        <x:v>Ultimate</x:v>
      </x:c>
      <x:c r="C5" s="10" t="n">
        <x:v>45342</x:v>
      </x:c>
      <x:c r="D5" t="str">
        <x:v>Não</x:v>
      </x:c>
      <x:c r="E5" s="14" t="n">
        <x:v>15</x:v>
      </x:c>
      <x:c r="F5" t="str">
        <x:v>Mensal</x:v>
      </x:c>
      <x:c r="G5" t="str">
        <x:v>Sim</x:v>
      </x:c>
      <x:c r="H5" s="14" t="n">
        <x:v>30</x:v>
      </x:c>
      <x:c r="I5" t="str">
        <x:v>Sim</x:v>
      </x:c>
      <x:c r="J5" s="14" t="n">
        <x:v>20</x:v>
      </x:c>
      <x:c r="K5" s="14" t="n">
        <x:v>3</x:v>
      </x:c>
      <x:c r="L5" s="14" t="n">
        <x:v>62</x:v>
      </x:c>
      <x:c r="M5" s="12" t="n">
        <x:f>DATE(YEAR(C5),MONTH(C5),1)</x:f>
        <x:v>45323</x:v>
      </x:c>
      <x:c r="N5" t="str">
        <x:f>IF(ABS(E5+H5+J5-K5-L5)&lt;0.001,"OK","REVER")</x:f>
        <x:v>OK</x:v>
      </x:c>
    </x:row>
    <x:row r="6" ht="22" customHeight="1">
      <x:c r="A6" t="n">
        <x:v>3235</x:v>
      </x:c>
      <x:c r="B6" t="str">
        <x:v>Core</x:v>
      </x:c>
      <x:c r="C6" s="10" t="n">
        <x:v>45356</x:v>
      </x:c>
      <x:c r="D6" t="str">
        <x:v>Sim</x:v>
      </x:c>
      <x:c r="E6" s="14" t="n">
        <x:v>5</x:v>
      </x:c>
      <x:c r="F6" t="str">
        <x:v>Mensal</x:v>
      </x:c>
      <x:c r="G6" t="str">
        <x:v>Não</x:v>
      </x:c>
      <x:c r="H6" s="14" t="n">
        <x:v>0</x:v>
      </x:c>
      <x:c r="I6" t="str">
        <x:v>Não</x:v>
      </x:c>
      <x:c r="J6" s="14" t="n">
        <x:v>0</x:v>
      </x:c>
      <x:c r="K6" s="14" t="n">
        <x:v>1</x:v>
      </x:c>
      <x:c r="L6" s="14" t="n">
        <x:v>4</x:v>
      </x:c>
      <x:c r="M6" s="12" t="n">
        <x:f>DATE(YEAR(C6),MONTH(C6),1)</x:f>
        <x:v>45352</x:v>
      </x:c>
      <x:c r="N6" t="str">
        <x:f>IF(ABS(E6+H6+J6-K6-L6)&lt;0.001,"OK","REVER")</x:f>
        <x:v>OK</x:v>
      </x:c>
    </x:row>
    <x:row r="7" ht="22" customHeight="1">
      <x:c r="A7" t="n">
        <x:v>3236</x:v>
      </x:c>
      <x:c r="B7" t="str">
        <x:v>Standard</x:v>
      </x:c>
      <x:c r="C7" s="10" t="n">
        <x:v>45353</x:v>
      </x:c>
      <x:c r="D7" t="str">
        <x:v>Não</x:v>
      </x:c>
      <x:c r="E7" s="14" t="n">
        <x:v>10</x:v>
      </x:c>
      <x:c r="F7" t="str">
        <x:v>Mensal</x:v>
      </x:c>
      <x:c r="G7" t="str">
        <x:v>Não</x:v>
      </x:c>
      <x:c r="H7" s="14" t="n">
        <x:v>0</x:v>
      </x:c>
      <x:c r="I7" t="str">
        <x:v>Sim</x:v>
      </x:c>
      <x:c r="J7" s="14" t="n">
        <x:v>20</x:v>
      </x:c>
      <x:c r="K7" s="14" t="n">
        <x:v>2</x:v>
      </x:c>
      <x:c r="L7" s="14" t="n">
        <x:v>28</x:v>
      </x:c>
      <x:c r="M7" s="12" t="n">
        <x:f>DATE(YEAR(C7),MONTH(C7),1)</x:f>
        <x:v>45352</x:v>
      </x:c>
      <x:c r="N7" t="str">
        <x:f>IF(ABS(E7+H7+J7-K7-L7)&lt;0.001,"OK","REVER")</x:f>
        <x:v>OK</x:v>
      </x:c>
    </x:row>
    <x:row r="8" ht="22" customHeight="1">
      <x:c r="A8" t="n">
        <x:v>3237</x:v>
      </x:c>
      <x:c r="B8" t="str">
        <x:v>Ultimate</x:v>
      </x:c>
      <x:c r="C8" s="10" t="n">
        <x:v>45354</x:v>
      </x:c>
      <x:c r="D8" t="str">
        <x:v>Sim</x:v>
      </x:c>
      <x:c r="E8" s="14" t="n">
        <x:v>15</x:v>
      </x:c>
      <x:c r="F8" t="str">
        <x:v>Trimestral</x:v>
      </x:c>
      <x:c r="G8" t="str">
        <x:v>Sim</x:v>
      </x:c>
      <x:c r="H8" s="14" t="n">
        <x:v>30</x:v>
      </x:c>
      <x:c r="I8" t="str">
        <x:v>Sim</x:v>
      </x:c>
      <x:c r="J8" s="14" t="n">
        <x:v>20</x:v>
      </x:c>
      <x:c r="K8" s="14" t="n">
        <x:v>10</x:v>
      </x:c>
      <x:c r="L8" s="14" t="n">
        <x:v>55</x:v>
      </x:c>
      <x:c r="M8" s="12" t="n">
        <x:f>DATE(YEAR(C8),MONTH(C8),1)</x:f>
        <x:v>45352</x:v>
      </x:c>
      <x:c r="N8" t="str">
        <x:f>IF(ABS(E8+H8+J8-K8-L8)&lt;0.001,"OK","REVER")</x:f>
        <x:v>OK</x:v>
      </x:c>
    </x:row>
    <x:row r="9" ht="22" customHeight="1">
      <x:c r="A9" t="n">
        <x:v>3238</x:v>
      </x:c>
      <x:c r="B9" t="str">
        <x:v>Core</x:v>
      </x:c>
      <x:c r="C9" s="10" t="n">
        <x:v>45355</x:v>
      </x:c>
      <x:c r="D9" t="str">
        <x:v>Sim</x:v>
      </x:c>
      <x:c r="E9" s="14" t="n">
        <x:v>5</x:v>
      </x:c>
      <x:c r="F9" t="str">
        <x:v>Anual</x:v>
      </x:c>
      <x:c r="G9" t="str">
        <x:v>Não</x:v>
      </x:c>
      <x:c r="H9" s="14" t="n">
        <x:v>0</x:v>
      </x:c>
      <x:c r="I9" t="str">
        <x:v>Não</x:v>
      </x:c>
      <x:c r="J9" s="14" t="n">
        <x:v>0</x:v>
      </x:c>
      <x:c r="K9" s="14" t="n">
        <x:v>0</x:v>
      </x:c>
      <x:c r="L9" s="14" t="n">
        <x:v>5</x:v>
      </x:c>
      <x:c r="M9" s="12" t="n">
        <x:f>DATE(YEAR(C9),MONTH(C9),1)</x:f>
        <x:v>45352</x:v>
      </x:c>
      <x:c r="N9" t="str">
        <x:f>IF(ABS(E9+H9+J9-K9-L9)&lt;0.001,"OK","REVER")</x:f>
        <x:v>OK</x:v>
      </x:c>
    </x:row>
    <x:row r="10" ht="22" customHeight="1">
      <x:c r="A10" t="n">
        <x:v>3239</x:v>
      </x:c>
      <x:c r="B10" t="str">
        <x:v>Ultimate</x:v>
      </x:c>
      <x:c r="C10" s="10" t="n">
        <x:v>45356</x:v>
      </x:c>
      <x:c r="D10" t="str">
        <x:v>Não</x:v>
      </x:c>
      <x:c r="E10" s="14" t="n">
        <x:v>15</x:v>
      </x:c>
      <x:c r="F10" t="str">
        <x:v>Mensal</x:v>
      </x:c>
      <x:c r="G10" t="str">
        <x:v>Sim</x:v>
      </x:c>
      <x:c r="H10" s="14" t="n">
        <x:v>30</x:v>
      </x:c>
      <x:c r="I10" t="str">
        <x:v>Sim</x:v>
      </x:c>
      <x:c r="J10" s="14" t="n">
        <x:v>20</x:v>
      </x:c>
      <x:c r="K10" s="14" t="n">
        <x:v>5</x:v>
      </x:c>
      <x:c r="L10" s="14" t="n">
        <x:v>60</x:v>
      </x:c>
      <x:c r="M10" s="12" t="n">
        <x:f>DATE(YEAR(C10),MONTH(C10),1)</x:f>
        <x:v>45352</x:v>
      </x:c>
      <x:c r="N10" t="str">
        <x:f>IF(ABS(E10+H10+J10-K10-L10)&lt;0.001,"OK","REVER")</x:f>
        <x:v>OK</x:v>
      </x:c>
    </x:row>
    <x:row r="11" ht="22" customHeight="1">
      <x:c r="A11" t="n">
        <x:v>3240</x:v>
      </x:c>
      <x:c r="B11" t="str">
        <x:v>Standard</x:v>
      </x:c>
      <x:c r="C11" s="10" t="n">
        <x:v>45357</x:v>
      </x:c>
      <x:c r="D11" t="str">
        <x:v>Sim</x:v>
      </x:c>
      <x:c r="E11" s="14" t="n">
        <x:v>10</x:v>
      </x:c>
      <x:c r="F11" t="str">
        <x:v>Trimestral</x:v>
      </x:c>
      <x:c r="G11" t="str">
        <x:v>Não</x:v>
      </x:c>
      <x:c r="H11" s="14" t="n">
        <x:v>0</x:v>
      </x:c>
      <x:c r="I11" t="str">
        <x:v>Sim</x:v>
      </x:c>
      <x:c r="J11" s="14" t="n">
        <x:v>20</x:v>
      </x:c>
      <x:c r="K11" s="14" t="n">
        <x:v>15</x:v>
      </x:c>
      <x:c r="L11" s="14" t="n">
        <x:v>15</x:v>
      </x:c>
      <x:c r="M11" s="12" t="n">
        <x:f>DATE(YEAR(C11),MONTH(C11),1)</x:f>
        <x:v>45352</x:v>
      </x:c>
      <x:c r="N11" t="str">
        <x:f>IF(ABS(E11+H11+J11-K11-L11)&lt;0.001,"OK","REVER")</x:f>
        <x:v>OK</x:v>
      </x:c>
    </x:row>
    <x:row r="12" ht="22" customHeight="1">
      <x:c r="A12" t="n">
        <x:v>3241</x:v>
      </x:c>
      <x:c r="B12" t="str">
        <x:v>Core</x:v>
      </x:c>
      <x:c r="C12" s="10" t="n">
        <x:v>45358</x:v>
      </x:c>
      <x:c r="D12" t="str">
        <x:v>Não</x:v>
      </x:c>
      <x:c r="E12" s="14" t="n">
        <x:v>5</x:v>
      </x:c>
      <x:c r="F12" t="str">
        <x:v>Mensal</x:v>
      </x:c>
      <x:c r="G12" t="str">
        <x:v>Não</x:v>
      </x:c>
      <x:c r="H12" s="14" t="n">
        <x:v>0</x:v>
      </x:c>
      <x:c r="I12" t="str">
        <x:v>Não</x:v>
      </x:c>
      <x:c r="J12" s="14" t="n">
        <x:v>0</x:v>
      </x:c>
      <x:c r="K12" s="14" t="n">
        <x:v>1</x:v>
      </x:c>
      <x:c r="L12" s="14" t="n">
        <x:v>4</x:v>
      </x:c>
      <x:c r="M12" s="12" t="n">
        <x:f>DATE(YEAR(C12),MONTH(C12),1)</x:f>
        <x:v>45352</x:v>
      </x:c>
      <x:c r="N12" t="str">
        <x:f>IF(ABS(E12+H12+J12-K12-L12)&lt;0.001,"OK","REVER")</x:f>
        <x:v>OK</x:v>
      </x:c>
    </x:row>
    <x:row r="13" ht="22" customHeight="1">
      <x:c r="A13" t="n">
        <x:v>3242</x:v>
      </x:c>
      <x:c r="B13" t="str">
        <x:v>Ultimate</x:v>
      </x:c>
      <x:c r="C13" s="10" t="n">
        <x:v>45359</x:v>
      </x:c>
      <x:c r="D13" t="str">
        <x:v>Sim</x:v>
      </x:c>
      <x:c r="E13" s="14" t="n">
        <x:v>15</x:v>
      </x:c>
      <x:c r="F13" t="str">
        <x:v>Anual</x:v>
      </x:c>
      <x:c r="G13" t="str">
        <x:v>Sim</x:v>
      </x:c>
      <x:c r="H13" s="14" t="n">
        <x:v>30</x:v>
      </x:c>
      <x:c r="I13" t="str">
        <x:v>Sim</x:v>
      </x:c>
      <x:c r="J13" s="14" t="n">
        <x:v>20</x:v>
      </x:c>
      <x:c r="K13" s="14" t="n">
        <x:v>20</x:v>
      </x:c>
      <x:c r="L13" s="14" t="n">
        <x:v>45</x:v>
      </x:c>
      <x:c r="M13" s="12" t="n">
        <x:f>DATE(YEAR(C13),MONTH(C13),1)</x:f>
        <x:v>45352</x:v>
      </x:c>
      <x:c r="N13" t="str">
        <x:f>IF(ABS(E13+H13+J13-K13-L13)&lt;0.001,"OK","REVER")</x:f>
        <x:v>OK</x:v>
      </x:c>
    </x:row>
    <x:row r="14" ht="22" customHeight="1">
      <x:c r="A14" t="n">
        <x:v>3243</x:v>
      </x:c>
      <x:c r="B14" t="str">
        <x:v>Standard</x:v>
      </x:c>
      <x:c r="C14" s="10" t="n">
        <x:v>45360</x:v>
      </x:c>
      <x:c r="D14" t="str">
        <x:v>Não</x:v>
      </x:c>
      <x:c r="E14" s="14" t="n">
        <x:v>10</x:v>
      </x:c>
      <x:c r="F14" t="str">
        <x:v>Mensal</x:v>
      </x:c>
      <x:c r="G14" t="str">
        <x:v>Não</x:v>
      </x:c>
      <x:c r="H14" s="14" t="n">
        <x:v>0</x:v>
      </x:c>
      <x:c r="I14" t="str">
        <x:v>Sim</x:v>
      </x:c>
      <x:c r="J14" s="14" t="n">
        <x:v>20</x:v>
      </x:c>
      <x:c r="K14" s="14" t="n">
        <x:v>10</x:v>
      </x:c>
      <x:c r="L14" s="14" t="n">
        <x:v>20</x:v>
      </x:c>
      <x:c r="M14" s="12" t="n">
        <x:f>DATE(YEAR(C14),MONTH(C14),1)</x:f>
        <x:v>45352</x:v>
      </x:c>
      <x:c r="N14" t="str">
        <x:f>IF(ABS(E14+H14+J14-K14-L14)&lt;0.001,"OK","REVER")</x:f>
        <x:v>OK</x:v>
      </x:c>
    </x:row>
    <x:row r="15" ht="22" customHeight="1">
      <x:c r="A15" t="n">
        <x:v>3244</x:v>
      </x:c>
      <x:c r="B15" t="str">
        <x:v>Core</x:v>
      </x:c>
      <x:c r="C15" s="10" t="n">
        <x:v>45361</x:v>
      </x:c>
      <x:c r="D15" t="str">
        <x:v>Sim</x:v>
      </x:c>
      <x:c r="E15" s="14" t="n">
        <x:v>5</x:v>
      </x:c>
      <x:c r="F15" t="str">
        <x:v>Trimestral</x:v>
      </x:c>
      <x:c r="G15" t="str">
        <x:v>Não</x:v>
      </x:c>
      <x:c r="H15" s="14" t="n">
        <x:v>0</x:v>
      </x:c>
      <x:c r="I15" t="str">
        <x:v>Não</x:v>
      </x:c>
      <x:c r="J15" s="14" t="n">
        <x:v>0</x:v>
      </x:c>
      <x:c r="K15" s="14" t="n">
        <x:v>0</x:v>
      </x:c>
      <x:c r="L15" s="14" t="n">
        <x:v>5</x:v>
      </x:c>
      <x:c r="M15" s="12" t="n">
        <x:f>DATE(YEAR(C15),MONTH(C15),1)</x:f>
        <x:v>45352</x:v>
      </x:c>
      <x:c r="N15" t="str">
        <x:f>IF(ABS(E15+H15+J15-K15-L15)&lt;0.001,"OK","REVER")</x:f>
        <x:v>OK</x:v>
      </x:c>
    </x:row>
    <x:row r="16" ht="22" customHeight="1">
      <x:c r="A16" t="n">
        <x:v>3245</x:v>
      </x:c>
      <x:c r="B16" t="str">
        <x:v>Ultimate</x:v>
      </x:c>
      <x:c r="C16" s="10" t="n">
        <x:v>45362</x:v>
      </x:c>
      <x:c r="D16" t="str">
        <x:v>Não</x:v>
      </x:c>
      <x:c r="E16" s="14" t="n">
        <x:v>15</x:v>
      </x:c>
      <x:c r="F16" t="str">
        <x:v>Mensal</x:v>
      </x:c>
      <x:c r="G16" t="str">
        <x:v>Sim</x:v>
      </x:c>
      <x:c r="H16" s="14" t="n">
        <x:v>30</x:v>
      </x:c>
      <x:c r="I16" t="str">
        <x:v>Sim</x:v>
      </x:c>
      <x:c r="J16" s="14" t="n">
        <x:v>20</x:v>
      </x:c>
      <x:c r="K16" s="14" t="n">
        <x:v>8</x:v>
      </x:c>
      <x:c r="L16" s="14" t="n">
        <x:v>57</x:v>
      </x:c>
      <x:c r="M16" s="12" t="n">
        <x:f>DATE(YEAR(C16),MONTH(C16),1)</x:f>
        <x:v>45352</x:v>
      </x:c>
      <x:c r="N16" t="str">
        <x:f>IF(ABS(E16+H16+J16-K16-L16)&lt;0.001,"OK","REVER")</x:f>
        <x:v>OK</x:v>
      </x:c>
    </x:row>
    <x:row r="17" ht="22" customHeight="1">
      <x:c r="A17" t="n">
        <x:v>3246</x:v>
      </x:c>
      <x:c r="B17" t="str">
        <x:v>Standard</x:v>
      </x:c>
      <x:c r="C17" s="10" t="n">
        <x:v>45363</x:v>
      </x:c>
      <x:c r="D17" t="str">
        <x:v>Sim</x:v>
      </x:c>
      <x:c r="E17" s="14" t="n">
        <x:v>10</x:v>
      </x:c>
      <x:c r="F17" t="str">
        <x:v>Anual</x:v>
      </x:c>
      <x:c r="G17" t="str">
        <x:v>Não</x:v>
      </x:c>
      <x:c r="H17" s="14" t="n">
        <x:v>0</x:v>
      </x:c>
      <x:c r="I17" t="str">
        <x:v>Sim</x:v>
      </x:c>
      <x:c r="J17" s="14" t="n">
        <x:v>20</x:v>
      </x:c>
      <x:c r="K17" s="14" t="n">
        <x:v>12</x:v>
      </x:c>
      <x:c r="L17" s="14" t="n">
        <x:v>18</x:v>
      </x:c>
      <x:c r="M17" s="12" t="n">
        <x:f>DATE(YEAR(C17),MONTH(C17),1)</x:f>
        <x:v>45352</x:v>
      </x:c>
      <x:c r="N17" t="str">
        <x:f>IF(ABS(E17+H17+J17-K17-L17)&lt;0.001,"OK","REVER")</x:f>
        <x:v>OK</x:v>
      </x:c>
    </x:row>
    <x:row r="18" ht="22" customHeight="1">
      <x:c r="A18" t="n">
        <x:v>3247</x:v>
      </x:c>
      <x:c r="B18" t="str">
        <x:v>Core</x:v>
      </x:c>
      <x:c r="C18" s="10" t="n">
        <x:v>45364</x:v>
      </x:c>
      <x:c r="D18" t="str">
        <x:v>Não</x:v>
      </x:c>
      <x:c r="E18" s="14" t="n">
        <x:v>5</x:v>
      </x:c>
      <x:c r="F18" t="str">
        <x:v>Mensal</x:v>
      </x:c>
      <x:c r="G18" t="str">
        <x:v>Não</x:v>
      </x:c>
      <x:c r="H18" s="14" t="n">
        <x:v>0</x:v>
      </x:c>
      <x:c r="I18" t="str">
        <x:v>Não</x:v>
      </x:c>
      <x:c r="J18" s="14" t="n">
        <x:v>0</x:v>
      </x:c>
      <x:c r="K18" s="14" t="n">
        <x:v>2</x:v>
      </x:c>
      <x:c r="L18" s="14" t="n">
        <x:v>3</x:v>
      </x:c>
      <x:c r="M18" s="12" t="n">
        <x:f>DATE(YEAR(C18),MONTH(C18),1)</x:f>
        <x:v>45352</x:v>
      </x:c>
      <x:c r="N18" t="str">
        <x:f>IF(ABS(E18+H18+J18-K18-L18)&lt;0.001,"OK","REVER")</x:f>
        <x:v>OK</x:v>
      </x:c>
    </x:row>
    <x:row r="19" ht="22" customHeight="1">
      <x:c r="A19" t="n">
        <x:v>3248</x:v>
      </x:c>
      <x:c r="B19" t="str">
        <x:v>Ultimate</x:v>
      </x:c>
      <x:c r="C19" s="10" t="n">
        <x:v>45365</x:v>
      </x:c>
      <x:c r="D19" t="str">
        <x:v>Sim</x:v>
      </x:c>
      <x:c r="E19" s="14" t="n">
        <x:v>15</x:v>
      </x:c>
      <x:c r="F19" t="str">
        <x:v>Trimestral</x:v>
      </x:c>
      <x:c r="G19" t="str">
        <x:v>Sim</x:v>
      </x:c>
      <x:c r="H19" s="14" t="n">
        <x:v>30</x:v>
      </x:c>
      <x:c r="I19" t="str">
        <x:v>Sim</x:v>
      </x:c>
      <x:c r="J19" s="14" t="n">
        <x:v>20</x:v>
      </x:c>
      <x:c r="K19" s="14" t="n">
        <x:v>7</x:v>
      </x:c>
      <x:c r="L19" s="14" t="n">
        <x:v>58</x:v>
      </x:c>
      <x:c r="M19" s="12" t="n">
        <x:f>DATE(YEAR(C19),MONTH(C19),1)</x:f>
        <x:v>45352</x:v>
      </x:c>
      <x:c r="N19" t="str">
        <x:f>IF(ABS(E19+H19+J19-K19-L19)&lt;0.001,"OK","REVER")</x:f>
        <x:v>OK</x:v>
      </x:c>
    </x:row>
    <x:row r="20" ht="22" customHeight="1">
      <x:c r="A20" t="n">
        <x:v>3249</x:v>
      </x:c>
      <x:c r="B20" t="str">
        <x:v>Standard</x:v>
      </x:c>
      <x:c r="C20" s="10" t="n">
        <x:v>45366</x:v>
      </x:c>
      <x:c r="D20" t="str">
        <x:v>Não</x:v>
      </x:c>
      <x:c r="E20" s="14" t="n">
        <x:v>10</x:v>
      </x:c>
      <x:c r="F20" t="str">
        <x:v>Mensal</x:v>
      </x:c>
      <x:c r="G20" t="str">
        <x:v>Não</x:v>
      </x:c>
      <x:c r="H20" s="14" t="n">
        <x:v>0</x:v>
      </x:c>
      <x:c r="I20" t="str">
        <x:v>Sim</x:v>
      </x:c>
      <x:c r="J20" s="14" t="n">
        <x:v>20</x:v>
      </x:c>
      <x:c r="K20" s="14" t="n">
        <x:v>5</x:v>
      </x:c>
      <x:c r="L20" s="14" t="n">
        <x:v>25</x:v>
      </x:c>
      <x:c r="M20" s="12" t="n">
        <x:f>DATE(YEAR(C20),MONTH(C20),1)</x:f>
        <x:v>45352</x:v>
      </x:c>
      <x:c r="N20" t="str">
        <x:f>IF(ABS(E20+H20+J20-K20-L20)&lt;0.001,"OK","REVER")</x:f>
        <x:v>OK</x:v>
      </x:c>
    </x:row>
    <x:row r="21" ht="22" customHeight="1">
      <x:c r="A21" t="n">
        <x:v>3250</x:v>
      </x:c>
      <x:c r="B21" t="str">
        <x:v>Core</x:v>
      </x:c>
      <x:c r="C21" s="10" t="n">
        <x:v>45367</x:v>
      </x:c>
      <x:c r="D21" t="str">
        <x:v>Sim</x:v>
      </x:c>
      <x:c r="E21" s="14" t="n">
        <x:v>5</x:v>
      </x:c>
      <x:c r="F21" t="str">
        <x:v>Anual</x:v>
      </x:c>
      <x:c r="G21" t="str">
        <x:v>Não</x:v>
      </x:c>
      <x:c r="H21" s="14" t="n">
        <x:v>0</x:v>
      </x:c>
      <x:c r="I21" t="str">
        <x:v>Não</x:v>
      </x:c>
      <x:c r="J21" s="14" t="n">
        <x:v>0</x:v>
      </x:c>
      <x:c r="K21" s="14" t="n">
        <x:v>0</x:v>
      </x:c>
      <x:c r="L21" s="14" t="n">
        <x:v>5</x:v>
      </x:c>
      <x:c r="M21" s="12" t="n">
        <x:f>DATE(YEAR(C21),MONTH(C21),1)</x:f>
        <x:v>45352</x:v>
      </x:c>
      <x:c r="N21" t="str">
        <x:f>IF(ABS(E21+H21+J21-K21-L21)&lt;0.001,"OK","REVER")</x:f>
        <x:v>OK</x:v>
      </x:c>
    </x:row>
    <x:row r="22" ht="22" customHeight="1">
      <x:c r="A22" t="n">
        <x:v>3251</x:v>
      </x:c>
      <x:c r="B22" t="str">
        <x:v>Ultimate</x:v>
      </x:c>
      <x:c r="C22" s="10" t="n">
        <x:v>45368</x:v>
      </x:c>
      <x:c r="D22" t="str">
        <x:v>Não</x:v>
      </x:c>
      <x:c r="E22" s="14" t="n">
        <x:v>15</x:v>
      </x:c>
      <x:c r="F22" t="str">
        <x:v>Mensal</x:v>
      </x:c>
      <x:c r="G22" t="str">
        <x:v>Sim</x:v>
      </x:c>
      <x:c r="H22" s="14" t="n">
        <x:v>30</x:v>
      </x:c>
      <x:c r="I22" t="str">
        <x:v>Sim</x:v>
      </x:c>
      <x:c r="J22" s="14" t="n">
        <x:v>20</x:v>
      </x:c>
      <x:c r="K22" s="14" t="n">
        <x:v>3</x:v>
      </x:c>
      <x:c r="L22" s="14" t="n">
        <x:v>62</x:v>
      </x:c>
      <x:c r="M22" s="12" t="n">
        <x:f>DATE(YEAR(C22),MONTH(C22),1)</x:f>
        <x:v>45352</x:v>
      </x:c>
      <x:c r="N22" t="str">
        <x:f>IF(ABS(E22+H22+J22-K22-L22)&lt;0.001,"OK","REVER")</x:f>
        <x:v>OK</x:v>
      </x:c>
    </x:row>
    <x:row r="23" ht="22" customHeight="1">
      <x:c r="A23" t="n">
        <x:v>3252</x:v>
      </x:c>
      <x:c r="B23" t="str">
        <x:v>Standard</x:v>
      </x:c>
      <x:c r="C23" s="10" t="n">
        <x:v>45369</x:v>
      </x:c>
      <x:c r="D23" t="str">
        <x:v>Sim</x:v>
      </x:c>
      <x:c r="E23" s="14" t="n">
        <x:v>10</x:v>
      </x:c>
      <x:c r="F23" t="str">
        <x:v>Trimestral</x:v>
      </x:c>
      <x:c r="G23" t="str">
        <x:v>Não</x:v>
      </x:c>
      <x:c r="H23" s="14" t="n">
        <x:v>0</x:v>
      </x:c>
      <x:c r="I23" t="str">
        <x:v>Sim</x:v>
      </x:c>
      <x:c r="J23" s="14" t="n">
        <x:v>20</x:v>
      </x:c>
      <x:c r="K23" s="14" t="n">
        <x:v>15</x:v>
      </x:c>
      <x:c r="L23" s="14" t="n">
        <x:v>15</x:v>
      </x:c>
      <x:c r="M23" s="12" t="n">
        <x:f>DATE(YEAR(C23),MONTH(C23),1)</x:f>
        <x:v>45352</x:v>
      </x:c>
      <x:c r="N23" t="str">
        <x:f>IF(ABS(E23+H23+J23-K23-L23)&lt;0.001,"OK","REVER")</x:f>
        <x:v>OK</x:v>
      </x:c>
    </x:row>
    <x:row r="24" ht="22" customHeight="1">
      <x:c r="A24" t="n">
        <x:v>3253</x:v>
      </x:c>
      <x:c r="B24" t="str">
        <x:v>Core</x:v>
      </x:c>
      <x:c r="C24" s="10" t="n">
        <x:v>45370</x:v>
      </x:c>
      <x:c r="D24" t="str">
        <x:v>Não</x:v>
      </x:c>
      <x:c r="E24" s="14" t="n">
        <x:v>5</x:v>
      </x:c>
      <x:c r="F24" t="str">
        <x:v>Mensal</x:v>
      </x:c>
      <x:c r="G24" t="str">
        <x:v>Não</x:v>
      </x:c>
      <x:c r="H24" s="14" t="n">
        <x:v>0</x:v>
      </x:c>
      <x:c r="I24" t="str">
        <x:v>Não</x:v>
      </x:c>
      <x:c r="J24" s="14" t="n">
        <x:v>0</x:v>
      </x:c>
      <x:c r="K24" s="14" t="n">
        <x:v>1</x:v>
      </x:c>
      <x:c r="L24" s="14" t="n">
        <x:v>4</x:v>
      </x:c>
      <x:c r="M24" s="12" t="n">
        <x:f>DATE(YEAR(C24),MONTH(C24),1)</x:f>
        <x:v>45352</x:v>
      </x:c>
      <x:c r="N24" t="str">
        <x:f>IF(ABS(E24+H24+J24-K24-L24)&lt;0.001,"OK","REVER")</x:f>
        <x:v>OK</x:v>
      </x:c>
    </x:row>
    <x:row r="25" ht="22" customHeight="1">
      <x:c r="A25" t="n">
        <x:v>3254</x:v>
      </x:c>
      <x:c r="B25" t="str">
        <x:v>Ultimate</x:v>
      </x:c>
      <x:c r="C25" s="10" t="n">
        <x:v>45371</x:v>
      </x:c>
      <x:c r="D25" t="str">
        <x:v>Sim</x:v>
      </x:c>
      <x:c r="E25" s="14" t="n">
        <x:v>15</x:v>
      </x:c>
      <x:c r="F25" t="str">
        <x:v>Anual</x:v>
      </x:c>
      <x:c r="G25" t="str">
        <x:v>Sim</x:v>
      </x:c>
      <x:c r="H25" s="14" t="n">
        <x:v>30</x:v>
      </x:c>
      <x:c r="I25" t="str">
        <x:v>Sim</x:v>
      </x:c>
      <x:c r="J25" s="14" t="n">
        <x:v>20</x:v>
      </x:c>
      <x:c r="K25" s="14" t="n">
        <x:v>20</x:v>
      </x:c>
      <x:c r="L25" s="14" t="n">
        <x:v>45</x:v>
      </x:c>
      <x:c r="M25" s="12" t="n">
        <x:f>DATE(YEAR(C25),MONTH(C25),1)</x:f>
        <x:v>45352</x:v>
      </x:c>
      <x:c r="N25" t="str">
        <x:f>IF(ABS(E25+H25+J25-K25-L25)&lt;0.001,"OK","REVER")</x:f>
        <x:v>OK</x:v>
      </x:c>
    </x:row>
    <x:row r="26" ht="22" customHeight="1">
      <x:c r="A26" t="n">
        <x:v>3255</x:v>
      </x:c>
      <x:c r="B26" t="str">
        <x:v>Standard</x:v>
      </x:c>
      <x:c r="C26" s="10" t="n">
        <x:v>45372</x:v>
      </x:c>
      <x:c r="D26" t="str">
        <x:v>Não</x:v>
      </x:c>
      <x:c r="E26" s="14" t="n">
        <x:v>10</x:v>
      </x:c>
      <x:c r="F26" t="str">
        <x:v>Mensal</x:v>
      </x:c>
      <x:c r="G26" t="str">
        <x:v>Não</x:v>
      </x:c>
      <x:c r="H26" s="14" t="n">
        <x:v>0</x:v>
      </x:c>
      <x:c r="I26" t="str">
        <x:v>Sim</x:v>
      </x:c>
      <x:c r="J26" s="14" t="n">
        <x:v>20</x:v>
      </x:c>
      <x:c r="K26" s="14" t="n">
        <x:v>10</x:v>
      </x:c>
      <x:c r="L26" s="14" t="n">
        <x:v>20</x:v>
      </x:c>
      <x:c r="M26" s="12" t="n">
        <x:f>DATE(YEAR(C26),MONTH(C26),1)</x:f>
        <x:v>45352</x:v>
      </x:c>
      <x:c r="N26" t="str">
        <x:f>IF(ABS(E26+H26+J26-K26-L26)&lt;0.001,"OK","REVER")</x:f>
        <x:v>OK</x:v>
      </x:c>
    </x:row>
    <x:row r="27" ht="22" customHeight="1">
      <x:c r="A27" t="n">
        <x:v>3256</x:v>
      </x:c>
      <x:c r="B27" t="str">
        <x:v>Core</x:v>
      </x:c>
      <x:c r="C27" s="10" t="n">
        <x:v>45373</x:v>
      </x:c>
      <x:c r="D27" t="str">
        <x:v>Sim</x:v>
      </x:c>
      <x:c r="E27" s="14" t="n">
        <x:v>5</x:v>
      </x:c>
      <x:c r="F27" t="str">
        <x:v>Trimestral</x:v>
      </x:c>
      <x:c r="G27" t="str">
        <x:v>Não</x:v>
      </x:c>
      <x:c r="H27" s="14" t="n">
        <x:v>0</x:v>
      </x:c>
      <x:c r="I27" t="str">
        <x:v>Não</x:v>
      </x:c>
      <x:c r="J27" s="14" t="n">
        <x:v>0</x:v>
      </x:c>
      <x:c r="K27" s="14" t="n">
        <x:v>0</x:v>
      </x:c>
      <x:c r="L27" s="14" t="n">
        <x:v>5</x:v>
      </x:c>
      <x:c r="M27" s="12" t="n">
        <x:f>DATE(YEAR(C27),MONTH(C27),1)</x:f>
        <x:v>45352</x:v>
      </x:c>
      <x:c r="N27" t="str">
        <x:f>IF(ABS(E27+H27+J27-K27-L27)&lt;0.001,"OK","REVER")</x:f>
        <x:v>OK</x:v>
      </x:c>
    </x:row>
    <x:row r="28" ht="22" customHeight="1">
      <x:c r="A28" t="n">
        <x:v>3257</x:v>
      </x:c>
      <x:c r="B28" t="str">
        <x:v>Ultimate</x:v>
      </x:c>
      <x:c r="C28" s="10" t="n">
        <x:v>45374</x:v>
      </x:c>
      <x:c r="D28" t="str">
        <x:v>Não</x:v>
      </x:c>
      <x:c r="E28" s="14" t="n">
        <x:v>15</x:v>
      </x:c>
      <x:c r="F28" t="str">
        <x:v>Mensal</x:v>
      </x:c>
      <x:c r="G28" t="str">
        <x:v>Sim</x:v>
      </x:c>
      <x:c r="H28" s="14" t="n">
        <x:v>30</x:v>
      </x:c>
      <x:c r="I28" t="str">
        <x:v>Sim</x:v>
      </x:c>
      <x:c r="J28" s="14" t="n">
        <x:v>20</x:v>
      </x:c>
      <x:c r="K28" s="14" t="n">
        <x:v>5</x:v>
      </x:c>
      <x:c r="L28" s="14" t="n">
        <x:v>60</x:v>
      </x:c>
      <x:c r="M28" s="12" t="n">
        <x:f>DATE(YEAR(C28),MONTH(C28),1)</x:f>
        <x:v>45352</x:v>
      </x:c>
      <x:c r="N28" t="str">
        <x:f>IF(ABS(E28+H28+J28-K28-L28)&lt;0.001,"OK","REVER")</x:f>
        <x:v>OK</x:v>
      </x:c>
    </x:row>
    <x:row r="29" ht="22" customHeight="1">
      <x:c r="A29" t="n">
        <x:v>3258</x:v>
      </x:c>
      <x:c r="B29" t="str">
        <x:v>Standard</x:v>
      </x:c>
      <x:c r="C29" s="10" t="n">
        <x:v>45375</x:v>
      </x:c>
      <x:c r="D29" t="str">
        <x:v>Sim</x:v>
      </x:c>
      <x:c r="E29" s="14" t="n">
        <x:v>10</x:v>
      </x:c>
      <x:c r="F29" t="str">
        <x:v>Anual</x:v>
      </x:c>
      <x:c r="G29" t="str">
        <x:v>Não</x:v>
      </x:c>
      <x:c r="H29" s="14" t="n">
        <x:v>0</x:v>
      </x:c>
      <x:c r="I29" t="str">
        <x:v>Sim</x:v>
      </x:c>
      <x:c r="J29" s="14" t="n">
        <x:v>20</x:v>
      </x:c>
      <x:c r="K29" s="14" t="n">
        <x:v>15</x:v>
      </x:c>
      <x:c r="L29" s="14" t="n">
        <x:v>15</x:v>
      </x:c>
      <x:c r="M29" s="12" t="n">
        <x:f>DATE(YEAR(C29),MONTH(C29),1)</x:f>
        <x:v>45352</x:v>
      </x:c>
      <x:c r="N29" t="str">
        <x:f>IF(ABS(E29+H29+J29-K29-L29)&lt;0.001,"OK","REVER")</x:f>
        <x:v>OK</x:v>
      </x:c>
    </x:row>
    <x:row r="30" ht="22" customHeight="1">
      <x:c r="A30" t="n">
        <x:v>3259</x:v>
      </x:c>
      <x:c r="B30" t="str">
        <x:v>Core</x:v>
      </x:c>
      <x:c r="C30" s="10" t="n">
        <x:v>45376</x:v>
      </x:c>
      <x:c r="D30" t="str">
        <x:v>Não</x:v>
      </x:c>
      <x:c r="E30" s="14" t="n">
        <x:v>5</x:v>
      </x:c>
      <x:c r="F30" t="str">
        <x:v>Mensal</x:v>
      </x:c>
      <x:c r="G30" t="str">
        <x:v>Não</x:v>
      </x:c>
      <x:c r="H30" s="14" t="n">
        <x:v>0</x:v>
      </x:c>
      <x:c r="I30" t="str">
        <x:v>Não</x:v>
      </x:c>
      <x:c r="J30" s="14" t="n">
        <x:v>0</x:v>
      </x:c>
      <x:c r="K30" s="14" t="n">
        <x:v>1</x:v>
      </x:c>
      <x:c r="L30" s="14" t="n">
        <x:v>4</x:v>
      </x:c>
      <x:c r="M30" s="12" t="n">
        <x:f>DATE(YEAR(C30),MONTH(C30),1)</x:f>
        <x:v>45352</x:v>
      </x:c>
      <x:c r="N30" t="str">
        <x:f>IF(ABS(E30+H30+J30-K30-L30)&lt;0.001,"OK","REVER")</x:f>
        <x:v>OK</x:v>
      </x:c>
    </x:row>
    <x:row r="31" ht="22" customHeight="1">
      <x:c r="A31" t="n">
        <x:v>3260</x:v>
      </x:c>
      <x:c r="B31" t="str">
        <x:v>Ultimate</x:v>
      </x:c>
      <x:c r="C31" s="10" t="n">
        <x:v>45377</x:v>
      </x:c>
      <x:c r="D31" t="str">
        <x:v>Sim</x:v>
      </x:c>
      <x:c r="E31" s="14" t="n">
        <x:v>15</x:v>
      </x:c>
      <x:c r="F31" t="str">
        <x:v>Trimestral</x:v>
      </x:c>
      <x:c r="G31" t="str">
        <x:v>Sim</x:v>
      </x:c>
      <x:c r="H31" s="14" t="n">
        <x:v>30</x:v>
      </x:c>
      <x:c r="I31" t="str">
        <x:v>Sim</x:v>
      </x:c>
      <x:c r="J31" s="14" t="n">
        <x:v>20</x:v>
      </x:c>
      <x:c r="K31" s="14" t="n">
        <x:v>7</x:v>
      </x:c>
      <x:c r="L31" s="14" t="n">
        <x:v>58</x:v>
      </x:c>
      <x:c r="M31" s="12" t="n">
        <x:f>DATE(YEAR(C31),MONTH(C31),1)</x:f>
        <x:v>45352</x:v>
      </x:c>
      <x:c r="N31" t="str">
        <x:f>IF(ABS(E31+H31+J31-K31-L31)&lt;0.001,"OK","REVER")</x:f>
        <x:v>OK</x:v>
      </x:c>
    </x:row>
    <x:row r="32" ht="22" customHeight="1">
      <x:c r="A32" t="n">
        <x:v>3261</x:v>
      </x:c>
      <x:c r="B32" t="str">
        <x:v>Standard</x:v>
      </x:c>
      <x:c r="C32" s="10" t="n">
        <x:v>45378</x:v>
      </x:c>
      <x:c r="D32" t="str">
        <x:v>Não</x:v>
      </x:c>
      <x:c r="E32" s="14" t="n">
        <x:v>10</x:v>
      </x:c>
      <x:c r="F32" t="str">
        <x:v>Mensal</x:v>
      </x:c>
      <x:c r="G32" t="str">
        <x:v>Não</x:v>
      </x:c>
      <x:c r="H32" s="14" t="n">
        <x:v>0</x:v>
      </x:c>
      <x:c r="I32" t="str">
        <x:v>Sim</x:v>
      </x:c>
      <x:c r="J32" s="14" t="n">
        <x:v>20</x:v>
      </x:c>
      <x:c r="K32" s="14" t="n">
        <x:v>10</x:v>
      </x:c>
      <x:c r="L32" s="14" t="n">
        <x:v>20</x:v>
      </x:c>
      <x:c r="M32" s="12" t="n">
        <x:f>DATE(YEAR(C32),MONTH(C32),1)</x:f>
        <x:v>45352</x:v>
      </x:c>
      <x:c r="N32" t="str">
        <x:f>IF(ABS(E32+H32+J32-K32-L32)&lt;0.001,"OK","REVER")</x:f>
        <x:v>OK</x:v>
      </x:c>
    </x:row>
    <x:row r="33" ht="22" customHeight="1">
      <x:c r="A33" t="n">
        <x:v>3262</x:v>
      </x:c>
      <x:c r="B33" t="str">
        <x:v>Core</x:v>
      </x:c>
      <x:c r="C33" s="10" t="n">
        <x:v>45379</x:v>
      </x:c>
      <x:c r="D33" t="str">
        <x:v>Sim</x:v>
      </x:c>
      <x:c r="E33" s="14" t="n">
        <x:v>5</x:v>
      </x:c>
      <x:c r="F33" t="str">
        <x:v>Anual</x:v>
      </x:c>
      <x:c r="G33" t="str">
        <x:v>Não</x:v>
      </x:c>
      <x:c r="H33" s="14" t="n">
        <x:v>0</x:v>
      </x:c>
      <x:c r="I33" t="str">
        <x:v>Não</x:v>
      </x:c>
      <x:c r="J33" s="14" t="n">
        <x:v>0</x:v>
      </x:c>
      <x:c r="K33" s="14" t="n">
        <x:v>0</x:v>
      </x:c>
      <x:c r="L33" s="14" t="n">
        <x:v>5</x:v>
      </x:c>
      <x:c r="M33" s="12" t="n">
        <x:f>DATE(YEAR(C33),MONTH(C33),1)</x:f>
        <x:v>45352</x:v>
      </x:c>
      <x:c r="N33" t="str">
        <x:f>IF(ABS(E33+H33+J33-K33-L33)&lt;0.001,"OK","REVER")</x:f>
        <x:v>OK</x:v>
      </x:c>
    </x:row>
    <x:row r="34" ht="22" customHeight="1">
      <x:c r="A34" t="n">
        <x:v>3263</x:v>
      </x:c>
      <x:c r="B34" t="str">
        <x:v>Ultimate</x:v>
      </x:c>
      <x:c r="C34" s="10" t="n">
        <x:v>45380</x:v>
      </x:c>
      <x:c r="D34" t="str">
        <x:v>Não</x:v>
      </x:c>
      <x:c r="E34" s="14" t="n">
        <x:v>15</x:v>
      </x:c>
      <x:c r="F34" t="str">
        <x:v>Mensal</x:v>
      </x:c>
      <x:c r="G34" t="str">
        <x:v>Sim</x:v>
      </x:c>
      <x:c r="H34" s="14" t="n">
        <x:v>30</x:v>
      </x:c>
      <x:c r="I34" t="str">
        <x:v>Sim</x:v>
      </x:c>
      <x:c r="J34" s="14" t="n">
        <x:v>20</x:v>
      </x:c>
      <x:c r="K34" s="14" t="n">
        <x:v>3</x:v>
      </x:c>
      <x:c r="L34" s="14" t="n">
        <x:v>62</x:v>
      </x:c>
      <x:c r="M34" s="12" t="n">
        <x:f>DATE(YEAR(C34),MONTH(C34),1)</x:f>
        <x:v>45352</x:v>
      </x:c>
      <x:c r="N34" t="str">
        <x:f>IF(ABS(E34+H34+J34-K34-L34)&lt;0.001,"OK","REVER")</x:f>
        <x:v>OK</x:v>
      </x:c>
    </x:row>
    <x:row r="35" ht="22" customHeight="1">
      <x:c r="A35" t="n">
        <x:v>3264</x:v>
      </x:c>
      <x:c r="B35" t="str">
        <x:v>Standard</x:v>
      </x:c>
      <x:c r="C35" s="10" t="n">
        <x:v>45381</x:v>
      </x:c>
      <x:c r="D35" t="str">
        <x:v>Sim</x:v>
      </x:c>
      <x:c r="E35" s="14" t="n">
        <x:v>10</x:v>
      </x:c>
      <x:c r="F35" t="str">
        <x:v>Trimestral</x:v>
      </x:c>
      <x:c r="G35" t="str">
        <x:v>Não</x:v>
      </x:c>
      <x:c r="H35" s="14" t="n">
        <x:v>0</x:v>
      </x:c>
      <x:c r="I35" t="str">
        <x:v>Sim</x:v>
      </x:c>
      <x:c r="J35" s="14" t="n">
        <x:v>20</x:v>
      </x:c>
      <x:c r="K35" s="14" t="n">
        <x:v>15</x:v>
      </x:c>
      <x:c r="L35" s="14" t="n">
        <x:v>15</x:v>
      </x:c>
      <x:c r="M35" s="12" t="n">
        <x:f>DATE(YEAR(C35),MONTH(C35),1)</x:f>
        <x:v>45352</x:v>
      </x:c>
      <x:c r="N35" t="str">
        <x:f>IF(ABS(E35+H35+J35-K35-L35)&lt;0.001,"OK","REVER")</x:f>
        <x:v>OK</x:v>
      </x:c>
    </x:row>
    <x:row r="36" ht="22" customHeight="1">
      <x:c r="A36" t="n">
        <x:v>3265</x:v>
      </x:c>
      <x:c r="B36" t="str">
        <x:v>Core</x:v>
      </x:c>
      <x:c r="C36" s="10" t="n">
        <x:v>45382</x:v>
      </x:c>
      <x:c r="D36" t="str">
        <x:v>Não</x:v>
      </x:c>
      <x:c r="E36" s="14" t="n">
        <x:v>5</x:v>
      </x:c>
      <x:c r="F36" t="str">
        <x:v>Mensal</x:v>
      </x:c>
      <x:c r="G36" t="str">
        <x:v>Não</x:v>
      </x:c>
      <x:c r="H36" s="14" t="n">
        <x:v>0</x:v>
      </x:c>
      <x:c r="I36" t="str">
        <x:v>Não</x:v>
      </x:c>
      <x:c r="J36" s="14" t="n">
        <x:v>0</x:v>
      </x:c>
      <x:c r="K36" s="14" t="n">
        <x:v>1</x:v>
      </x:c>
      <x:c r="L36" s="14" t="n">
        <x:v>4</x:v>
      </x:c>
      <x:c r="M36" s="12" t="n">
        <x:f>DATE(YEAR(C36),MONTH(C36),1)</x:f>
        <x:v>45352</x:v>
      </x:c>
      <x:c r="N36" t="str">
        <x:f>IF(ABS(E36+H36+J36-K36-L36)&lt;0.001,"OK","REVER")</x:f>
        <x:v>OK</x:v>
      </x:c>
    </x:row>
    <x:row r="37" ht="22" customHeight="1">
      <x:c r="A37" t="n">
        <x:v>3266</x:v>
      </x:c>
      <x:c r="B37" t="str">
        <x:v>Core</x:v>
      </x:c>
      <x:c r="C37" s="10" t="n">
        <x:v>45383</x:v>
      </x:c>
      <x:c r="D37" t="str">
        <x:v>Sim</x:v>
      </x:c>
      <x:c r="E37" s="14" t="n">
        <x:v>5</x:v>
      </x:c>
      <x:c r="F37" t="str">
        <x:v>Mensal</x:v>
      </x:c>
      <x:c r="G37" t="str">
        <x:v>Não</x:v>
      </x:c>
      <x:c r="H37" s="14" t="n">
        <x:v>0</x:v>
      </x:c>
      <x:c r="I37" t="str">
        <x:v>Não</x:v>
      </x:c>
      <x:c r="J37" s="14" t="n">
        <x:v>0</x:v>
      </x:c>
      <x:c r="K37" s="14" t="n">
        <x:v>0</x:v>
      </x:c>
      <x:c r="L37" s="14" t="n">
        <x:v>5</x:v>
      </x:c>
      <x:c r="M37" s="12" t="n">
        <x:f>DATE(YEAR(C37),MONTH(C37),1)</x:f>
        <x:v>45383</x:v>
      </x:c>
      <x:c r="N37" t="str">
        <x:f>IF(ABS(E37+H37+J37-K37-L37)&lt;0.001,"OK","REVER")</x:f>
        <x:v>OK</x:v>
      </x:c>
    </x:row>
    <x:row r="38" ht="22" customHeight="1">
      <x:c r="A38" t="n">
        <x:v>3267</x:v>
      </x:c>
      <x:c r="B38" t="str">
        <x:v>Ultimate</x:v>
      </x:c>
      <x:c r="C38" s="10" t="n">
        <x:v>45384</x:v>
      </x:c>
      <x:c r="D38" t="str">
        <x:v>Não</x:v>
      </x:c>
      <x:c r="E38" s="14" t="n">
        <x:v>15</x:v>
      </x:c>
      <x:c r="F38" t="str">
        <x:v>Trimestral</x:v>
      </x:c>
      <x:c r="G38" t="str">
        <x:v>Sim</x:v>
      </x:c>
      <x:c r="H38" s="14" t="n">
        <x:v>30</x:v>
      </x:c>
      <x:c r="I38" t="str">
        <x:v>Sim</x:v>
      </x:c>
      <x:c r="J38" s="14" t="n">
        <x:v>20</x:v>
      </x:c>
      <x:c r="K38" s="14" t="n">
        <x:v>7</x:v>
      </x:c>
      <x:c r="L38" s="14" t="n">
        <x:v>58</x:v>
      </x:c>
      <x:c r="M38" s="12" t="n">
        <x:f>DATE(YEAR(C38),MONTH(C38),1)</x:f>
        <x:v>45383</x:v>
      </x:c>
      <x:c r="N38" t="str">
        <x:f>IF(ABS(E38+H38+J38-K38-L38)&lt;0.001,"OK","REVER")</x:f>
        <x:v>OK</x:v>
      </x:c>
    </x:row>
    <x:row r="39" ht="22" customHeight="1">
      <x:c r="A39" t="n">
        <x:v>3268</x:v>
      </x:c>
      <x:c r="B39" t="str">
        <x:v>Standard</x:v>
      </x:c>
      <x:c r="C39" s="10" t="n">
        <x:v>45385</x:v>
      </x:c>
      <x:c r="D39" t="str">
        <x:v>Sim</x:v>
      </x:c>
      <x:c r="E39" s="14" t="n">
        <x:v>10</x:v>
      </x:c>
      <x:c r="F39" t="str">
        <x:v>Anual</x:v>
      </x:c>
      <x:c r="G39" t="str">
        <x:v>Não</x:v>
      </x:c>
      <x:c r="H39" s="14" t="n">
        <x:v>0</x:v>
      </x:c>
      <x:c r="I39" t="str">
        <x:v>Sim</x:v>
      </x:c>
      <x:c r="J39" s="14" t="n">
        <x:v>20</x:v>
      </x:c>
      <x:c r="K39" s="14" t="n">
        <x:v>10</x:v>
      </x:c>
      <x:c r="L39" s="14" t="n">
        <x:v>20</x:v>
      </x:c>
      <x:c r="M39" s="12" t="n">
        <x:f>DATE(YEAR(C39),MONTH(C39),1)</x:f>
        <x:v>45383</x:v>
      </x:c>
      <x:c r="N39" t="str">
        <x:f>IF(ABS(E39+H39+J39-K39-L39)&lt;0.001,"OK","REVER")</x:f>
        <x:v>OK</x:v>
      </x:c>
    </x:row>
    <x:row r="40" ht="22" customHeight="1">
      <x:c r="A40" t="n">
        <x:v>3269</x:v>
      </x:c>
      <x:c r="B40" t="str">
        <x:v>Core</x:v>
      </x:c>
      <x:c r="C40" s="10" t="n">
        <x:v>45386</x:v>
      </x:c>
      <x:c r="D40" t="str">
        <x:v>Não</x:v>
      </x:c>
      <x:c r="E40" s="14" t="n">
        <x:v>5</x:v>
      </x:c>
      <x:c r="F40" t="str">
        <x:v>Trimestral</x:v>
      </x:c>
      <x:c r="G40" t="str">
        <x:v>Não</x:v>
      </x:c>
      <x:c r="H40" s="14" t="n">
        <x:v>0</x:v>
      </x:c>
      <x:c r="I40" t="str">
        <x:v>Não</x:v>
      </x:c>
      <x:c r="J40" s="14" t="n">
        <x:v>0</x:v>
      </x:c>
      <x:c r="K40" s="14" t="n">
        <x:v>1</x:v>
      </x:c>
      <x:c r="L40" s="14" t="n">
        <x:v>4</x:v>
      </x:c>
      <x:c r="M40" s="12" t="n">
        <x:f>DATE(YEAR(C40),MONTH(C40),1)</x:f>
        <x:v>45383</x:v>
      </x:c>
      <x:c r="N40" t="str">
        <x:f>IF(ABS(E40+H40+J40-K40-L40)&lt;0.001,"OK","REVER")</x:f>
        <x:v>OK</x:v>
      </x:c>
    </x:row>
    <x:row r="41" ht="22" customHeight="1">
      <x:c r="A41" t="n">
        <x:v>3270</x:v>
      </x:c>
      <x:c r="B41" t="str">
        <x:v>Ultimate</x:v>
      </x:c>
      <x:c r="C41" s="10" t="n">
        <x:v>45387</x:v>
      </x:c>
      <x:c r="D41" t="str">
        <x:v>Sim</x:v>
      </x:c>
      <x:c r="E41" s="14" t="n">
        <x:v>15</x:v>
      </x:c>
      <x:c r="F41" t="str">
        <x:v>Mensal</x:v>
      </x:c>
      <x:c r="G41" t="str">
        <x:v>Sim</x:v>
      </x:c>
      <x:c r="H41" s="14" t="n">
        <x:v>30</x:v>
      </x:c>
      <x:c r="I41" t="str">
        <x:v>Sim</x:v>
      </x:c>
      <x:c r="J41" s="14" t="n">
        <x:v>20</x:v>
      </x:c>
      <x:c r="K41" s="14" t="n">
        <x:v>15</x:v>
      </x:c>
      <x:c r="L41" s="14" t="n">
        <x:v>50</x:v>
      </x:c>
      <x:c r="M41" s="12" t="n">
        <x:f>DATE(YEAR(C41),MONTH(C41),1)</x:f>
        <x:v>45383</x:v>
      </x:c>
      <x:c r="N41" t="str">
        <x:f>IF(ABS(E41+H41+J41-K41-L41)&lt;0.001,"OK","REVER")</x:f>
        <x:v>OK</x:v>
      </x:c>
    </x:row>
    <x:row r="42" ht="22" customHeight="1">
      <x:c r="A42" t="n">
        <x:v>3271</x:v>
      </x:c>
      <x:c r="B42" t="str">
        <x:v>Standard</x:v>
      </x:c>
      <x:c r="C42" s="10" t="n">
        <x:v>45388</x:v>
      </x:c>
      <x:c r="D42" t="str">
        <x:v>Não</x:v>
      </x:c>
      <x:c r="E42" s="14" t="n">
        <x:v>10</x:v>
      </x:c>
      <x:c r="F42" t="str">
        <x:v>Mensal</x:v>
      </x:c>
      <x:c r="G42" t="str">
        <x:v>Não</x:v>
      </x:c>
      <x:c r="H42" s="14" t="n">
        <x:v>0</x:v>
      </x:c>
      <x:c r="I42" t="str">
        <x:v>Sim</x:v>
      </x:c>
      <x:c r="J42" s="14" t="n">
        <x:v>20</x:v>
      </x:c>
      <x:c r="K42" s="14" t="n">
        <x:v>5</x:v>
      </x:c>
      <x:c r="L42" s="14" t="n">
        <x:v>25</x:v>
      </x:c>
      <x:c r="M42" s="12" t="n">
        <x:f>DATE(YEAR(C42),MONTH(C42),1)</x:f>
        <x:v>45383</x:v>
      </x:c>
      <x:c r="N42" t="str">
        <x:f>IF(ABS(E42+H42+J42-K42-L42)&lt;0.001,"OK","REVER")</x:f>
        <x:v>OK</x:v>
      </x:c>
    </x:row>
    <x:row r="43" ht="22" customHeight="1">
      <x:c r="A43" t="n">
        <x:v>3272</x:v>
      </x:c>
      <x:c r="B43" t="str">
        <x:v>Core</x:v>
      </x:c>
      <x:c r="C43" s="10" t="n">
        <x:v>45389</x:v>
      </x:c>
      <x:c r="D43" t="str">
        <x:v>Sim</x:v>
      </x:c>
      <x:c r="E43" s="14" t="n">
        <x:v>5</x:v>
      </x:c>
      <x:c r="F43" t="str">
        <x:v>Anual</x:v>
      </x:c>
      <x:c r="G43" t="str">
        <x:v>Não</x:v>
      </x:c>
      <x:c r="H43" s="14" t="n">
        <x:v>0</x:v>
      </x:c>
      <x:c r="I43" t="str">
        <x:v>Não</x:v>
      </x:c>
      <x:c r="J43" s="14" t="n">
        <x:v>0</x:v>
      </x:c>
      <x:c r="K43" s="14" t="n">
        <x:v>0</x:v>
      </x:c>
      <x:c r="L43" s="14" t="n">
        <x:v>5</x:v>
      </x:c>
      <x:c r="M43" s="12" t="n">
        <x:f>DATE(YEAR(C43),MONTH(C43),1)</x:f>
        <x:v>45383</x:v>
      </x:c>
      <x:c r="N43" t="str">
        <x:f>IF(ABS(E43+H43+J43-K43-L43)&lt;0.001,"OK","REVER")</x:f>
        <x:v>OK</x:v>
      </x:c>
    </x:row>
    <x:row r="44" ht="22" customHeight="1">
      <x:c r="A44" t="n">
        <x:v>3273</x:v>
      </x:c>
      <x:c r="B44" t="str">
        <x:v>Ultimate</x:v>
      </x:c>
      <x:c r="C44" s="10" t="n">
        <x:v>45390</x:v>
      </x:c>
      <x:c r="D44" t="str">
        <x:v>Não</x:v>
      </x:c>
      <x:c r="E44" s="14" t="n">
        <x:v>15</x:v>
      </x:c>
      <x:c r="F44" t="str">
        <x:v>Trimestral</x:v>
      </x:c>
      <x:c r="G44" t="str">
        <x:v>Sim</x:v>
      </x:c>
      <x:c r="H44" s="14" t="n">
        <x:v>30</x:v>
      </x:c>
      <x:c r="I44" t="str">
        <x:v>Sim</x:v>
      </x:c>
      <x:c r="J44" s="14" t="n">
        <x:v>20</x:v>
      </x:c>
      <x:c r="K44" s="14" t="n">
        <x:v>20</x:v>
      </x:c>
      <x:c r="L44" s="14" t="n">
        <x:v>45</x:v>
      </x:c>
      <x:c r="M44" s="12" t="n">
        <x:f>DATE(YEAR(C44),MONTH(C44),1)</x:f>
        <x:v>45383</x:v>
      </x:c>
      <x:c r="N44" t="str">
        <x:f>IF(ABS(E44+H44+J44-K44-L44)&lt;0.001,"OK","REVER")</x:f>
        <x:v>OK</x:v>
      </x:c>
    </x:row>
    <x:row r="45" ht="22" customHeight="1">
      <x:c r="A45" t="n">
        <x:v>3274</x:v>
      </x:c>
      <x:c r="B45" t="str">
        <x:v>Standard</x:v>
      </x:c>
      <x:c r="C45" s="10" t="n">
        <x:v>45391</x:v>
      </x:c>
      <x:c r="D45" t="str">
        <x:v>Sim</x:v>
      </x:c>
      <x:c r="E45" s="14" t="n">
        <x:v>10</x:v>
      </x:c>
      <x:c r="F45" t="str">
        <x:v>Trimestral</x:v>
      </x:c>
      <x:c r="G45" t="str">
        <x:v>Não</x:v>
      </x:c>
      <x:c r="H45" s="14" t="n">
        <x:v>0</x:v>
      </x:c>
      <x:c r="I45" t="str">
        <x:v>Sim</x:v>
      </x:c>
      <x:c r="J45" s="14" t="n">
        <x:v>20</x:v>
      </x:c>
      <x:c r="K45" s="14" t="n">
        <x:v>12</x:v>
      </x:c>
      <x:c r="L45" s="14" t="n">
        <x:v>18</x:v>
      </x:c>
      <x:c r="M45" s="12" t="n">
        <x:f>DATE(YEAR(C45),MONTH(C45),1)</x:f>
        <x:v>45383</x:v>
      </x:c>
      <x:c r="N45" t="str">
        <x:f>IF(ABS(E45+H45+J45-K45-L45)&lt;0.001,"OK","REVER")</x:f>
        <x:v>OK</x:v>
      </x:c>
    </x:row>
    <x:row r="46" ht="22" customHeight="1">
      <x:c r="A46" t="n">
        <x:v>3275</x:v>
      </x:c>
      <x:c r="B46" t="str">
        <x:v>Core</x:v>
      </x:c>
      <x:c r="C46" s="10" t="n">
        <x:v>45392</x:v>
      </x:c>
      <x:c r="D46" t="str">
        <x:v>Não</x:v>
      </x:c>
      <x:c r="E46" s="14" t="n">
        <x:v>5</x:v>
      </x:c>
      <x:c r="F46" t="str">
        <x:v>Mensal</x:v>
      </x:c>
      <x:c r="G46" t="str">
        <x:v>Não</x:v>
      </x:c>
      <x:c r="H46" s="14" t="n">
        <x:v>0</x:v>
      </x:c>
      <x:c r="I46" t="str">
        <x:v>Não</x:v>
      </x:c>
      <x:c r="J46" s="14" t="n">
        <x:v>0</x:v>
      </x:c>
      <x:c r="K46" s="14" t="n">
        <x:v>2</x:v>
      </x:c>
      <x:c r="L46" s="14" t="n">
        <x:v>3</x:v>
      </x:c>
      <x:c r="M46" s="12" t="n">
        <x:f>DATE(YEAR(C46),MONTH(C46),1)</x:f>
        <x:v>45383</x:v>
      </x:c>
      <x:c r="N46" t="str">
        <x:f>IF(ABS(E46+H46+J46-K46-L46)&lt;0.001,"OK","REVER")</x:f>
        <x:v>OK</x:v>
      </x:c>
    </x:row>
    <x:row r="47" ht="22" customHeight="1">
      <x:c r="A47" t="n">
        <x:v>3276</x:v>
      </x:c>
      <x:c r="B47" t="str">
        <x:v>Ultimate</x:v>
      </x:c>
      <x:c r="C47" s="10" t="n">
        <x:v>45393</x:v>
      </x:c>
      <x:c r="D47" t="str">
        <x:v>Sim</x:v>
      </x:c>
      <x:c r="E47" s="14" t="n">
        <x:v>15</x:v>
      </x:c>
      <x:c r="F47" t="str">
        <x:v>Anual</x:v>
      </x:c>
      <x:c r="G47" t="str">
        <x:v>Sim</x:v>
      </x:c>
      <x:c r="H47" s="14" t="n">
        <x:v>30</x:v>
      </x:c>
      <x:c r="I47" t="str">
        <x:v>Sim</x:v>
      </x:c>
      <x:c r="J47" s="14" t="n">
        <x:v>20</x:v>
      </x:c>
      <x:c r="K47" s="14" t="n">
        <x:v>5</x:v>
      </x:c>
      <x:c r="L47" s="14" t="n">
        <x:v>60</x:v>
      </x:c>
      <x:c r="M47" s="12" t="n">
        <x:f>DATE(YEAR(C47),MONTH(C47),1)</x:f>
        <x:v>45383</x:v>
      </x:c>
      <x:c r="N47" t="str">
        <x:f>IF(ABS(E47+H47+J47-K47-L47)&lt;0.001,"OK","REVER")</x:f>
        <x:v>OK</x:v>
      </x:c>
    </x:row>
    <x:row r="48" ht="22" customHeight="1">
      <x:c r="A48" t="n">
        <x:v>3277</x:v>
      </x:c>
      <x:c r="B48" t="str">
        <x:v>Standard</x:v>
      </x:c>
      <x:c r="C48" s="10" t="n">
        <x:v>45394</x:v>
      </x:c>
      <x:c r="D48" t="str">
        <x:v>Não</x:v>
      </x:c>
      <x:c r="E48" s="14" t="n">
        <x:v>10</x:v>
      </x:c>
      <x:c r="F48" t="str">
        <x:v>Mensal</x:v>
      </x:c>
      <x:c r="G48" t="str">
        <x:v>Não</x:v>
      </x:c>
      <x:c r="H48" s="14" t="n">
        <x:v>0</x:v>
      </x:c>
      <x:c r="I48" t="str">
        <x:v>Sim</x:v>
      </x:c>
      <x:c r="J48" s="14" t="n">
        <x:v>20</x:v>
      </x:c>
      <x:c r="K48" s="14" t="n">
        <x:v>10</x:v>
      </x:c>
      <x:c r="L48" s="14" t="n">
        <x:v>20</x:v>
      </x:c>
      <x:c r="M48" s="12" t="n">
        <x:f>DATE(YEAR(C48),MONTH(C48),1)</x:f>
        <x:v>45383</x:v>
      </x:c>
      <x:c r="N48" t="str">
        <x:f>IF(ABS(E48+H48+J48-K48-L48)&lt;0.001,"OK","REVER")</x:f>
        <x:v>OK</x:v>
      </x:c>
    </x:row>
    <x:row r="49" ht="22" customHeight="1">
      <x:c r="A49" t="n">
        <x:v>3278</x:v>
      </x:c>
      <x:c r="B49" t="str">
        <x:v>Core</x:v>
      </x:c>
      <x:c r="C49" s="10" t="n">
        <x:v>45395</x:v>
      </x:c>
      <x:c r="D49" t="str">
        <x:v>Sim</x:v>
      </x:c>
      <x:c r="E49" s="14" t="n">
        <x:v>5</x:v>
      </x:c>
      <x:c r="F49" t="str">
        <x:v>Trimestral</x:v>
      </x:c>
      <x:c r="G49" t="str">
        <x:v>Não</x:v>
      </x:c>
      <x:c r="H49" s="14" t="n">
        <x:v>0</x:v>
      </x:c>
      <x:c r="I49" t="str">
        <x:v>Não</x:v>
      </x:c>
      <x:c r="J49" s="14" t="n">
        <x:v>0</x:v>
      </x:c>
      <x:c r="K49" s="14" t="n">
        <x:v>0</x:v>
      </x:c>
      <x:c r="L49" s="14" t="n">
        <x:v>5</x:v>
      </x:c>
      <x:c r="M49" s="12" t="n">
        <x:f>DATE(YEAR(C49),MONTH(C49),1)</x:f>
        <x:v>45383</x:v>
      </x:c>
      <x:c r="N49" t="str">
        <x:f>IF(ABS(E49+H49+J49-K49-L49)&lt;0.001,"OK","REVER")</x:f>
        <x:v>OK</x:v>
      </x:c>
    </x:row>
    <x:row r="50" ht="22" customHeight="1">
      <x:c r="A50" t="n">
        <x:v>3279</x:v>
      </x:c>
      <x:c r="B50" t="str">
        <x:v>Ultimate</x:v>
      </x:c>
      <x:c r="C50" s="10" t="n">
        <x:v>45396</x:v>
      </x:c>
      <x:c r="D50" t="str">
        <x:v>Não</x:v>
      </x:c>
      <x:c r="E50" s="14" t="n">
        <x:v>15</x:v>
      </x:c>
      <x:c r="F50" t="str">
        <x:v>Mensal</x:v>
      </x:c>
      <x:c r="G50" t="str">
        <x:v>Sim</x:v>
      </x:c>
      <x:c r="H50" s="14" t="n">
        <x:v>30</x:v>
      </x:c>
      <x:c r="I50" t="str">
        <x:v>Sim</x:v>
      </x:c>
      <x:c r="J50" s="14" t="n">
        <x:v>20</x:v>
      </x:c>
      <x:c r="K50" s="14" t="n">
        <x:v>3</x:v>
      </x:c>
      <x:c r="L50" s="14" t="n">
        <x:v>62</x:v>
      </x:c>
      <x:c r="M50" s="12" t="n">
        <x:f>DATE(YEAR(C50),MONTH(C50),1)</x:f>
        <x:v>45383</x:v>
      </x:c>
      <x:c r="N50" t="str">
        <x:f>IF(ABS(E50+H50+J50-K50-L50)&lt;0.001,"OK","REVER")</x:f>
        <x:v>OK</x:v>
      </x:c>
    </x:row>
    <x:row r="51" ht="22" customHeight="1">
      <x:c r="A51" t="n">
        <x:v>3280</x:v>
      </x:c>
      <x:c r="B51" t="str">
        <x:v>Standard</x:v>
      </x:c>
      <x:c r="C51" s="10" t="n">
        <x:v>45397</x:v>
      </x:c>
      <x:c r="D51" t="str">
        <x:v>Sim</x:v>
      </x:c>
      <x:c r="E51" s="14" t="n">
        <x:v>10</x:v>
      </x:c>
      <x:c r="F51" t="str">
        <x:v>Anual</x:v>
      </x:c>
      <x:c r="G51" t="str">
        <x:v>Não</x:v>
      </x:c>
      <x:c r="H51" s="14" t="n">
        <x:v>0</x:v>
      </x:c>
      <x:c r="I51" t="str">
        <x:v>Sim</x:v>
      </x:c>
      <x:c r="J51" s="14" t="n">
        <x:v>20</x:v>
      </x:c>
      <x:c r="K51" s="14" t="n">
        <x:v>15</x:v>
      </x:c>
      <x:c r="L51" s="14" t="n">
        <x:v>15</x:v>
      </x:c>
      <x:c r="M51" s="12" t="n">
        <x:f>DATE(YEAR(C51),MONTH(C51),1)</x:f>
        <x:v>45383</x:v>
      </x:c>
      <x:c r="N51" t="str">
        <x:f>IF(ABS(E51+H51+J51-K51-L51)&lt;0.001,"OK","REVER")</x:f>
        <x:v>OK</x:v>
      </x:c>
    </x:row>
    <x:row r="52" ht="22" customHeight="1">
      <x:c r="A52" t="n">
        <x:v>3281</x:v>
      </x:c>
      <x:c r="B52" t="str">
        <x:v>Core</x:v>
      </x:c>
      <x:c r="C52" s="10" t="n">
        <x:v>45398</x:v>
      </x:c>
      <x:c r="D52" t="str">
        <x:v>Não</x:v>
      </x:c>
      <x:c r="E52" s="14" t="n">
        <x:v>5</x:v>
      </x:c>
      <x:c r="F52" t="str">
        <x:v>Mensal</x:v>
      </x:c>
      <x:c r="G52" t="str">
        <x:v>Não</x:v>
      </x:c>
      <x:c r="H52" s="14" t="n">
        <x:v>0</x:v>
      </x:c>
      <x:c r="I52" t="str">
        <x:v>Não</x:v>
      </x:c>
      <x:c r="J52" s="14" t="n">
        <x:v>0</x:v>
      </x:c>
      <x:c r="K52" s="14" t="n">
        <x:v>1</x:v>
      </x:c>
      <x:c r="L52" s="14" t="n">
        <x:v>4</x:v>
      </x:c>
      <x:c r="M52" s="12" t="n">
        <x:f>DATE(YEAR(C52),MONTH(C52),1)</x:f>
        <x:v>45383</x:v>
      </x:c>
      <x:c r="N52" t="str">
        <x:f>IF(ABS(E52+H52+J52-K52-L52)&lt;0.001,"OK","REVER")</x:f>
        <x:v>OK</x:v>
      </x:c>
    </x:row>
    <x:row r="53" ht="22" customHeight="1">
      <x:c r="A53" t="n">
        <x:v>3282</x:v>
      </x:c>
      <x:c r="B53" t="str">
        <x:v>Ultimate</x:v>
      </x:c>
      <x:c r="C53" s="10" t="n">
        <x:v>45399</x:v>
      </x:c>
      <x:c r="D53" t="str">
        <x:v>Sim</x:v>
      </x:c>
      <x:c r="E53" s="14" t="n">
        <x:v>15</x:v>
      </x:c>
      <x:c r="F53" t="str">
        <x:v>Trimestral</x:v>
      </x:c>
      <x:c r="G53" t="str">
        <x:v>Sim</x:v>
      </x:c>
      <x:c r="H53" s="14" t="n">
        <x:v>30</x:v>
      </x:c>
      <x:c r="I53" t="str">
        <x:v>Sim</x:v>
      </x:c>
      <x:c r="J53" s="14" t="n">
        <x:v>20</x:v>
      </x:c>
      <x:c r="K53" s="14" t="n">
        <x:v>7</x:v>
      </x:c>
      <x:c r="L53" s="14" t="n">
        <x:v>58</x:v>
      </x:c>
      <x:c r="M53" s="12" t="n">
        <x:f>DATE(YEAR(C53),MONTH(C53),1)</x:f>
        <x:v>45383</x:v>
      </x:c>
      <x:c r="N53" t="str">
        <x:f>IF(ABS(E53+H53+J53-K53-L53)&lt;0.001,"OK","REVER")</x:f>
        <x:v>OK</x:v>
      </x:c>
    </x:row>
    <x:row r="54" ht="22" customHeight="1">
      <x:c r="A54" t="n">
        <x:v>3283</x:v>
      </x:c>
      <x:c r="B54" t="str">
        <x:v>Standard</x:v>
      </x:c>
      <x:c r="C54" s="10" t="n">
        <x:v>45400</x:v>
      </x:c>
      <x:c r="D54" t="str">
        <x:v>Não</x:v>
      </x:c>
      <x:c r="E54" s="14" t="n">
        <x:v>10</x:v>
      </x:c>
      <x:c r="F54" t="str">
        <x:v>Mensal</x:v>
      </x:c>
      <x:c r="G54" t="str">
        <x:v>Não</x:v>
      </x:c>
      <x:c r="H54" s="14" t="n">
        <x:v>0</x:v>
      </x:c>
      <x:c r="I54" t="str">
        <x:v>Sim</x:v>
      </x:c>
      <x:c r="J54" s="14" t="n">
        <x:v>20</x:v>
      </x:c>
      <x:c r="K54" s="14" t="n">
        <x:v>10</x:v>
      </x:c>
      <x:c r="L54" s="14" t="n">
        <x:v>20</x:v>
      </x:c>
      <x:c r="M54" s="12" t="n">
        <x:f>DATE(YEAR(C54),MONTH(C54),1)</x:f>
        <x:v>45383</x:v>
      </x:c>
      <x:c r="N54" t="str">
        <x:f>IF(ABS(E54+H54+J54-K54-L54)&lt;0.001,"OK","REVER")</x:f>
        <x:v>OK</x:v>
      </x:c>
    </x:row>
    <x:row r="55" ht="22" customHeight="1">
      <x:c r="A55" t="n">
        <x:v>3284</x:v>
      </x:c>
      <x:c r="B55" t="str">
        <x:v>Core</x:v>
      </x:c>
      <x:c r="C55" s="10" t="n">
        <x:v>45401</x:v>
      </x:c>
      <x:c r="D55" t="str">
        <x:v>Sim</x:v>
      </x:c>
      <x:c r="E55" s="14" t="n">
        <x:v>5</x:v>
      </x:c>
      <x:c r="F55" t="str">
        <x:v>Anual</x:v>
      </x:c>
      <x:c r="G55" t="str">
        <x:v>Não</x:v>
      </x:c>
      <x:c r="H55" s="14" t="n">
        <x:v>0</x:v>
      </x:c>
      <x:c r="I55" t="str">
        <x:v>Não</x:v>
      </x:c>
      <x:c r="J55" s="14" t="n">
        <x:v>0</x:v>
      </x:c>
      <x:c r="K55" s="14" t="n">
        <x:v>0</x:v>
      </x:c>
      <x:c r="L55" s="14" t="n">
        <x:v>5</x:v>
      </x:c>
      <x:c r="M55" s="12" t="n">
        <x:f>DATE(YEAR(C55),MONTH(C55),1)</x:f>
        <x:v>45383</x:v>
      </x:c>
      <x:c r="N55" t="str">
        <x:f>IF(ABS(E55+H55+J55-K55-L55)&lt;0.001,"OK","REVER")</x:f>
        <x:v>OK</x:v>
      </x:c>
    </x:row>
    <x:row r="56" ht="22" customHeight="1">
      <x:c r="A56" t="n">
        <x:v>3285</x:v>
      </x:c>
      <x:c r="B56" t="str">
        <x:v>Ultimate</x:v>
      </x:c>
      <x:c r="C56" s="10" t="n">
        <x:v>45402</x:v>
      </x:c>
      <x:c r="D56" t="str">
        <x:v>Não</x:v>
      </x:c>
      <x:c r="E56" s="14" t="n">
        <x:v>15</x:v>
      </x:c>
      <x:c r="F56" t="str">
        <x:v>Mensal</x:v>
      </x:c>
      <x:c r="G56" t="str">
        <x:v>Sim</x:v>
      </x:c>
      <x:c r="H56" s="14" t="n">
        <x:v>30</x:v>
      </x:c>
      <x:c r="I56" t="str">
        <x:v>Sim</x:v>
      </x:c>
      <x:c r="J56" s="14" t="n">
        <x:v>20</x:v>
      </x:c>
      <x:c r="K56" s="14" t="n">
        <x:v>20</x:v>
      </x:c>
      <x:c r="L56" s="14" t="n">
        <x:v>45</x:v>
      </x:c>
      <x:c r="M56" s="12" t="n">
        <x:f>DATE(YEAR(C56),MONTH(C56),1)</x:f>
        <x:v>45383</x:v>
      </x:c>
      <x:c r="N56" t="str">
        <x:f>IF(ABS(E56+H56+J56-K56-L56)&lt;0.001,"OK","REVER")</x:f>
        <x:v>OK</x:v>
      </x:c>
    </x:row>
    <x:row r="57" ht="22" customHeight="1">
      <x:c r="A57" t="n">
        <x:v>3286</x:v>
      </x:c>
      <x:c r="B57" t="str">
        <x:v>Standard</x:v>
      </x:c>
      <x:c r="C57" s="10" t="n">
        <x:v>45403</x:v>
      </x:c>
      <x:c r="D57" t="str">
        <x:v>Sim</x:v>
      </x:c>
      <x:c r="E57" s="14" t="n">
        <x:v>10</x:v>
      </x:c>
      <x:c r="F57" t="str">
        <x:v>Trimestral</x:v>
      </x:c>
      <x:c r="G57" t="str">
        <x:v>Não</x:v>
      </x:c>
      <x:c r="H57" s="14" t="n">
        <x:v>0</x:v>
      </x:c>
      <x:c r="I57" t="str">
        <x:v>Sim</x:v>
      </x:c>
      <x:c r="J57" s="14" t="n">
        <x:v>20</x:v>
      </x:c>
      <x:c r="K57" s="14" t="n">
        <x:v>15</x:v>
      </x:c>
      <x:c r="L57" s="14" t="n">
        <x:v>15</x:v>
      </x:c>
      <x:c r="M57" s="12" t="n">
        <x:f>DATE(YEAR(C57),MONTH(C57),1)</x:f>
        <x:v>45383</x:v>
      </x:c>
      <x:c r="N57" t="str">
        <x:f>IF(ABS(E57+H57+J57-K57-L57)&lt;0.001,"OK","REVER")</x:f>
        <x:v>OK</x:v>
      </x:c>
    </x:row>
    <x:row r="58" ht="22" customHeight="1">
      <x:c r="A58" t="n">
        <x:v>3287</x:v>
      </x:c>
      <x:c r="B58" t="str">
        <x:v>Core</x:v>
      </x:c>
      <x:c r="C58" s="10" t="n">
        <x:v>45404</x:v>
      </x:c>
      <x:c r="D58" t="str">
        <x:v>Não</x:v>
      </x:c>
      <x:c r="E58" s="14" t="n">
        <x:v>5</x:v>
      </x:c>
      <x:c r="F58" t="str">
        <x:v>Mensal</x:v>
      </x:c>
      <x:c r="G58" t="str">
        <x:v>Não</x:v>
      </x:c>
      <x:c r="H58" s="14" t="n">
        <x:v>0</x:v>
      </x:c>
      <x:c r="I58" t="str">
        <x:v>Não</x:v>
      </x:c>
      <x:c r="J58" s="14" t="n">
        <x:v>0</x:v>
      </x:c>
      <x:c r="K58" s="14" t="n">
        <x:v>1</x:v>
      </x:c>
      <x:c r="L58" s="14" t="n">
        <x:v>4</x:v>
      </x:c>
      <x:c r="M58" s="12" t="n">
        <x:f>DATE(YEAR(C58),MONTH(C58),1)</x:f>
        <x:v>45383</x:v>
      </x:c>
      <x:c r="N58" t="str">
        <x:f>IF(ABS(E58+H58+J58-K58-L58)&lt;0.001,"OK","REVER")</x:f>
        <x:v>OK</x:v>
      </x:c>
    </x:row>
    <x:row r="59" ht="22" customHeight="1">
      <x:c r="A59" t="n">
        <x:v>3288</x:v>
      </x:c>
      <x:c r="B59" t="str">
        <x:v>Ultimate</x:v>
      </x:c>
      <x:c r="C59" s="10" t="n">
        <x:v>45405</x:v>
      </x:c>
      <x:c r="D59" t="str">
        <x:v>Sim</x:v>
      </x:c>
      <x:c r="E59" s="14" t="n">
        <x:v>15</x:v>
      </x:c>
      <x:c r="F59" t="str">
        <x:v>Anual</x:v>
      </x:c>
      <x:c r="G59" t="str">
        <x:v>Sim</x:v>
      </x:c>
      <x:c r="H59" s="14" t="n">
        <x:v>30</x:v>
      </x:c>
      <x:c r="I59" t="str">
        <x:v>Sim</x:v>
      </x:c>
      <x:c r="J59" s="14" t="n">
        <x:v>20</x:v>
      </x:c>
      <x:c r="K59" s="14" t="n">
        <x:v>3</x:v>
      </x:c>
      <x:c r="L59" s="14" t="n">
        <x:v>62</x:v>
      </x:c>
      <x:c r="M59" s="12" t="n">
        <x:f>DATE(YEAR(C59),MONTH(C59),1)</x:f>
        <x:v>45383</x:v>
      </x:c>
      <x:c r="N59" t="str">
        <x:f>IF(ABS(E59+H59+J59-K59-L59)&lt;0.001,"OK","REVER")</x:f>
        <x:v>OK</x:v>
      </x:c>
    </x:row>
    <x:row r="60" ht="22" customHeight="1">
      <x:c r="A60" t="n">
        <x:v>3289</x:v>
      </x:c>
      <x:c r="B60" t="str">
        <x:v>Standard</x:v>
      </x:c>
      <x:c r="C60" s="10" t="n">
        <x:v>45406</x:v>
      </x:c>
      <x:c r="D60" t="str">
        <x:v>Não</x:v>
      </x:c>
      <x:c r="E60" s="14" t="n">
        <x:v>10</x:v>
      </x:c>
      <x:c r="F60" t="str">
        <x:v>Mensal</x:v>
      </x:c>
      <x:c r="G60" t="str">
        <x:v>Não</x:v>
      </x:c>
      <x:c r="H60" s="14" t="n">
        <x:v>0</x:v>
      </x:c>
      <x:c r="I60" t="str">
        <x:v>Sim</x:v>
      </x:c>
      <x:c r="J60" s="14" t="n">
        <x:v>20</x:v>
      </x:c>
      <x:c r="K60" s="14" t="n">
        <x:v>10</x:v>
      </x:c>
      <x:c r="L60" s="14" t="n">
        <x:v>20</x:v>
      </x:c>
      <x:c r="M60" s="12" t="n">
        <x:f>DATE(YEAR(C60),MONTH(C60),1)</x:f>
        <x:v>45383</x:v>
      </x:c>
      <x:c r="N60" t="str">
        <x:f>IF(ABS(E60+H60+J60-K60-L60)&lt;0.001,"OK","REVER")</x:f>
        <x:v>OK</x:v>
      </x:c>
    </x:row>
    <x:row r="61" ht="22" customHeight="1">
      <x:c r="A61" t="n">
        <x:v>3290</x:v>
      </x:c>
      <x:c r="B61" t="str">
        <x:v>Core</x:v>
      </x:c>
      <x:c r="C61" s="10" t="n">
        <x:v>45407</x:v>
      </x:c>
      <x:c r="D61" t="str">
        <x:v>Sim</x:v>
      </x:c>
      <x:c r="E61" s="14" t="n">
        <x:v>5</x:v>
      </x:c>
      <x:c r="F61" t="str">
        <x:v>Trimestral</x:v>
      </x:c>
      <x:c r="G61" t="str">
        <x:v>Não</x:v>
      </x:c>
      <x:c r="H61" s="14" t="n">
        <x:v>0</x:v>
      </x:c>
      <x:c r="I61" t="str">
        <x:v>Não</x:v>
      </x:c>
      <x:c r="J61" s="14" t="n">
        <x:v>0</x:v>
      </x:c>
      <x:c r="K61" s="14" t="n">
        <x:v>0</x:v>
      </x:c>
      <x:c r="L61" s="14" t="n">
        <x:v>5</x:v>
      </x:c>
      <x:c r="M61" s="12" t="n">
        <x:f>DATE(YEAR(C61),MONTH(C61),1)</x:f>
        <x:v>45383</x:v>
      </x:c>
      <x:c r="N61" t="str">
        <x:f>IF(ABS(E61+H61+J61-K61-L61)&lt;0.001,"OK","REVER")</x:f>
        <x:v>OK</x:v>
      </x:c>
    </x:row>
    <x:row r="62" ht="22" customHeight="1">
      <x:c r="A62" t="n">
        <x:v>3291</x:v>
      </x:c>
      <x:c r="B62" t="str">
        <x:v>Ultimate</x:v>
      </x:c>
      <x:c r="C62" s="10" t="n">
        <x:v>45408</x:v>
      </x:c>
      <x:c r="D62" t="str">
        <x:v>Não</x:v>
      </x:c>
      <x:c r="E62" s="14" t="n">
        <x:v>15</x:v>
      </x:c>
      <x:c r="F62" t="str">
        <x:v>Mensal</x:v>
      </x:c>
      <x:c r="G62" t="str">
        <x:v>Sim</x:v>
      </x:c>
      <x:c r="H62" s="14" t="n">
        <x:v>30</x:v>
      </x:c>
      <x:c r="I62" t="str">
        <x:v>Sim</x:v>
      </x:c>
      <x:c r="J62" s="14" t="n">
        <x:v>20</x:v>
      </x:c>
      <x:c r="K62" s="14" t="n">
        <x:v>5</x:v>
      </x:c>
      <x:c r="L62" s="14" t="n">
        <x:v>60</x:v>
      </x:c>
      <x:c r="M62" s="12" t="n">
        <x:f>DATE(YEAR(C62),MONTH(C62),1)</x:f>
        <x:v>45383</x:v>
      </x:c>
      <x:c r="N62" t="str">
        <x:f>IF(ABS(E62+H62+J62-K62-L62)&lt;0.001,"OK","REVER")</x:f>
        <x:v>OK</x:v>
      </x:c>
    </x:row>
    <x:row r="63" ht="22" customHeight="1">
      <x:c r="A63" t="n">
        <x:v>3292</x:v>
      </x:c>
      <x:c r="B63" t="str">
        <x:v>Standard</x:v>
      </x:c>
      <x:c r="C63" s="10" t="n">
        <x:v>45409</x:v>
      </x:c>
      <x:c r="D63" t="str">
        <x:v>Sim</x:v>
      </x:c>
      <x:c r="E63" s="14" t="n">
        <x:v>10</x:v>
      </x:c>
      <x:c r="F63" t="str">
        <x:v>Anual</x:v>
      </x:c>
      <x:c r="G63" t="str">
        <x:v>Não</x:v>
      </x:c>
      <x:c r="H63" s="14" t="n">
        <x:v>0</x:v>
      </x:c>
      <x:c r="I63" t="str">
        <x:v>Sim</x:v>
      </x:c>
      <x:c r="J63" s="14" t="n">
        <x:v>20</x:v>
      </x:c>
      <x:c r="K63" s="14" t="n">
        <x:v>15</x:v>
      </x:c>
      <x:c r="L63" s="14" t="n">
        <x:v>15</x:v>
      </x:c>
      <x:c r="M63" s="12" t="n">
        <x:f>DATE(YEAR(C63),MONTH(C63),1)</x:f>
        <x:v>45383</x:v>
      </x:c>
      <x:c r="N63" t="str">
        <x:f>IF(ABS(E63+H63+J63-K63-L63)&lt;0.001,"OK","REVER")</x:f>
        <x:v>OK</x:v>
      </x:c>
    </x:row>
    <x:row r="64" ht="22" customHeight="1">
      <x:c r="A64" t="n">
        <x:v>3293</x:v>
      </x:c>
      <x:c r="B64" t="str">
        <x:v>Core</x:v>
      </x:c>
      <x:c r="C64" s="10" t="n">
        <x:v>45410</x:v>
      </x:c>
      <x:c r="D64" t="str">
        <x:v>Não</x:v>
      </x:c>
      <x:c r="E64" s="14" t="n">
        <x:v>5</x:v>
      </x:c>
      <x:c r="F64" t="str">
        <x:v>Mensal</x:v>
      </x:c>
      <x:c r="G64" t="str">
        <x:v>Não</x:v>
      </x:c>
      <x:c r="H64" s="14" t="n">
        <x:v>0</x:v>
      </x:c>
      <x:c r="I64" t="str">
        <x:v>Não</x:v>
      </x:c>
      <x:c r="J64" s="14" t="n">
        <x:v>0</x:v>
      </x:c>
      <x:c r="K64" s="14" t="n">
        <x:v>1</x:v>
      </x:c>
      <x:c r="L64" s="14" t="n">
        <x:v>4</x:v>
      </x:c>
      <x:c r="M64" s="12" t="n">
        <x:f>DATE(YEAR(C64),MONTH(C64),1)</x:f>
        <x:v>45383</x:v>
      </x:c>
      <x:c r="N64" t="str">
        <x:f>IF(ABS(E64+H64+J64-K64-L64)&lt;0.001,"OK","REVER")</x:f>
        <x:v>OK</x:v>
      </x:c>
    </x:row>
    <x:row r="65" ht="22" customHeight="1">
      <x:c r="A65" t="n">
        <x:v>3294</x:v>
      </x:c>
      <x:c r="B65" t="str">
        <x:v>Ultimate</x:v>
      </x:c>
      <x:c r="C65" s="10" t="n">
        <x:v>45411</x:v>
      </x:c>
      <x:c r="D65" t="str">
        <x:v>Sim</x:v>
      </x:c>
      <x:c r="E65" s="14" t="n">
        <x:v>15</x:v>
      </x:c>
      <x:c r="F65" t="str">
        <x:v>Trimestral</x:v>
      </x:c>
      <x:c r="G65" t="str">
        <x:v>Sim</x:v>
      </x:c>
      <x:c r="H65" s="14" t="n">
        <x:v>30</x:v>
      </x:c>
      <x:c r="I65" t="str">
        <x:v>Sim</x:v>
      </x:c>
      <x:c r="J65" s="14" t="n">
        <x:v>20</x:v>
      </x:c>
      <x:c r="K65" s="14" t="n">
        <x:v>20</x:v>
      </x:c>
      <x:c r="L65" s="14" t="n">
        <x:v>45</x:v>
      </x:c>
      <x:c r="M65" s="12" t="n">
        <x:f>DATE(YEAR(C65),MONTH(C65),1)</x:f>
        <x:v>45383</x:v>
      </x:c>
      <x:c r="N65" t="str">
        <x:f>IF(ABS(E65+H65+J65-K65-L65)&lt;0.001,"OK","REVER")</x:f>
        <x:v>OK</x:v>
      </x:c>
    </x:row>
    <x:row r="66" ht="22" customHeight="1">
      <x:c r="A66" t="n">
        <x:v>3295</x:v>
      </x:c>
      <x:c r="B66" t="str">
        <x:v>Standard</x:v>
      </x:c>
      <x:c r="C66" s="10" t="n">
        <x:v>45412</x:v>
      </x:c>
      <x:c r="D66" t="str">
        <x:v>Não</x:v>
      </x:c>
      <x:c r="E66" s="14" t="n">
        <x:v>10</x:v>
      </x:c>
      <x:c r="F66" t="str">
        <x:v>Mensal</x:v>
      </x:c>
      <x:c r="G66" t="str">
        <x:v>Não</x:v>
      </x:c>
      <x:c r="H66" s="14" t="n">
        <x:v>0</x:v>
      </x:c>
      <x:c r="I66" t="str">
        <x:v>Sim</x:v>
      </x:c>
      <x:c r="J66" s="14" t="n">
        <x:v>20</x:v>
      </x:c>
      <x:c r="K66" s="14" t="n">
        <x:v>5</x:v>
      </x:c>
      <x:c r="L66" s="14" t="n">
        <x:v>25</x:v>
      </x:c>
      <x:c r="M66" s="12" t="n">
        <x:f>DATE(YEAR(C66),MONTH(C66),1)</x:f>
        <x:v>45383</x:v>
      </x:c>
      <x:c r="N66" t="str">
        <x:f>IF(ABS(E66+H66+J66-K66-L66)&lt;0.001,"OK","REVER")</x:f>
        <x:v>OK</x:v>
      </x:c>
    </x:row>
    <x:row r="67" ht="22" customHeight="1">
      <x:c r="A67" t="n">
        <x:v>3296</x:v>
      </x:c>
      <x:c r="B67" t="str">
        <x:v>Core</x:v>
      </x:c>
      <x:c r="C67" s="10" t="n">
        <x:v>45413</x:v>
      </x:c>
      <x:c r="D67" t="str">
        <x:v>Não</x:v>
      </x:c>
      <x:c r="E67" s="14" t="n">
        <x:v>5</x:v>
      </x:c>
      <x:c r="F67" t="str">
        <x:v>Mensal</x:v>
      </x:c>
      <x:c r="G67" t="str">
        <x:v>Não</x:v>
      </x:c>
      <x:c r="H67" s="14" t="n">
        <x:v>0</x:v>
      </x:c>
      <x:c r="I67" t="str">
        <x:v>Não</x:v>
      </x:c>
      <x:c r="J67" s="14" t="n">
        <x:v>0</x:v>
      </x:c>
      <x:c r="K67" s="14" t="n">
        <x:v>0</x:v>
      </x:c>
      <x:c r="L67" s="14" t="n">
        <x:v>5</x:v>
      </x:c>
      <x:c r="M67" s="12" t="n">
        <x:f>DATE(YEAR(C67),MONTH(C67),1)</x:f>
        <x:v>45413</x:v>
      </x:c>
      <x:c r="N67" t="str">
        <x:f>IF(ABS(E67+H67+J67-K67-L67)&lt;0.001,"OK","REVER")</x:f>
        <x:v>OK</x:v>
      </x:c>
    </x:row>
    <x:row r="68" ht="22" customHeight="1">
      <x:c r="A68" t="n">
        <x:v>3297</x:v>
      </x:c>
      <x:c r="B68" t="str">
        <x:v>Ultimate</x:v>
      </x:c>
      <x:c r="C68" s="10" t="n">
        <x:v>45414</x:v>
      </x:c>
      <x:c r="D68" t="str">
        <x:v>Sim</x:v>
      </x:c>
      <x:c r="E68" s="14" t="n">
        <x:v>15</x:v>
      </x:c>
      <x:c r="F68" t="str">
        <x:v>Trimestral</x:v>
      </x:c>
      <x:c r="G68" t="str">
        <x:v>Sim</x:v>
      </x:c>
      <x:c r="H68" s="14" t="n">
        <x:v>30</x:v>
      </x:c>
      <x:c r="I68" t="str">
        <x:v>Sim</x:v>
      </x:c>
      <x:c r="J68" s="14" t="n">
        <x:v>20</x:v>
      </x:c>
      <x:c r="K68" s="14" t="n">
        <x:v>7</x:v>
      </x:c>
      <x:c r="L68" s="14" t="n">
        <x:v>58</x:v>
      </x:c>
      <x:c r="M68" s="12" t="n">
        <x:f>DATE(YEAR(C68),MONTH(C68),1)</x:f>
        <x:v>45413</x:v>
      </x:c>
      <x:c r="N68" t="str">
        <x:f>IF(ABS(E68+H68+J68-K68-L68)&lt;0.001,"OK","REVER")</x:f>
        <x:v>OK</x:v>
      </x:c>
    </x:row>
    <x:row r="69" ht="22" customHeight="1">
      <x:c r="A69" t="n">
        <x:v>3298</x:v>
      </x:c>
      <x:c r="B69" t="str">
        <x:v>Standard</x:v>
      </x:c>
      <x:c r="C69" s="10" t="n">
        <x:v>45415</x:v>
      </x:c>
      <x:c r="D69" t="str">
        <x:v>Não</x:v>
      </x:c>
      <x:c r="E69" s="14" t="n">
        <x:v>10</x:v>
      </x:c>
      <x:c r="F69" t="str">
        <x:v>Anual</x:v>
      </x:c>
      <x:c r="G69" t="str">
        <x:v>Não</x:v>
      </x:c>
      <x:c r="H69" s="14" t="n">
        <x:v>0</x:v>
      </x:c>
      <x:c r="I69" t="str">
        <x:v>Sim</x:v>
      </x:c>
      <x:c r="J69" s="14" t="n">
        <x:v>20</x:v>
      </x:c>
      <x:c r="K69" s="14" t="n">
        <x:v>10</x:v>
      </x:c>
      <x:c r="L69" s="14" t="n">
        <x:v>20</x:v>
      </x:c>
      <x:c r="M69" s="12" t="n">
        <x:f>DATE(YEAR(C69),MONTH(C69),1)</x:f>
        <x:v>45413</x:v>
      </x:c>
      <x:c r="N69" t="str">
        <x:f>IF(ABS(E69+H69+J69-K69-L69)&lt;0.001,"OK","REVER")</x:f>
        <x:v>OK</x:v>
      </x:c>
    </x:row>
    <x:row r="70" ht="22" customHeight="1">
      <x:c r="A70" t="n">
        <x:v>3299</x:v>
      </x:c>
      <x:c r="B70" t="str">
        <x:v>Core</x:v>
      </x:c>
      <x:c r="C70" s="10" t="n">
        <x:v>45416</x:v>
      </x:c>
      <x:c r="D70" t="str">
        <x:v>Sim</x:v>
      </x:c>
      <x:c r="E70" s="14" t="n">
        <x:v>5</x:v>
      </x:c>
      <x:c r="F70" t="str">
        <x:v>Trimestral</x:v>
      </x:c>
      <x:c r="G70" t="str">
        <x:v>Não</x:v>
      </x:c>
      <x:c r="H70" s="14" t="n">
        <x:v>0</x:v>
      </x:c>
      <x:c r="I70" t="str">
        <x:v>Não</x:v>
      </x:c>
      <x:c r="J70" s="14" t="n">
        <x:v>0</x:v>
      </x:c>
      <x:c r="K70" s="14" t="n">
        <x:v>1</x:v>
      </x:c>
      <x:c r="L70" s="14" t="n">
        <x:v>4</x:v>
      </x:c>
      <x:c r="M70" s="12" t="n">
        <x:f>DATE(YEAR(C70),MONTH(C70),1)</x:f>
        <x:v>45413</x:v>
      </x:c>
      <x:c r="N70" t="str">
        <x:f>IF(ABS(E70+H70+J70-K70-L70)&lt;0.001,"OK","REVER")</x:f>
        <x:v>OK</x:v>
      </x:c>
    </x:row>
    <x:row r="71" ht="22" customHeight="1">
      <x:c r="A71" t="n">
        <x:v>3300</x:v>
      </x:c>
      <x:c r="B71" t="str">
        <x:v>Ultimate</x:v>
      </x:c>
      <x:c r="C71" s="10" t="n">
        <x:v>45417</x:v>
      </x:c>
      <x:c r="D71" t="str">
        <x:v>Não</x:v>
      </x:c>
      <x:c r="E71" s="14" t="n">
        <x:v>15</x:v>
      </x:c>
      <x:c r="F71" t="str">
        <x:v>Mensal</x:v>
      </x:c>
      <x:c r="G71" t="str">
        <x:v>Sim</x:v>
      </x:c>
      <x:c r="H71" s="14" t="n">
        <x:v>30</x:v>
      </x:c>
      <x:c r="I71" t="str">
        <x:v>Sim</x:v>
      </x:c>
      <x:c r="J71" s="14" t="n">
        <x:v>20</x:v>
      </x:c>
      <x:c r="K71" s="14" t="n">
        <x:v>15</x:v>
      </x:c>
      <x:c r="L71" s="14" t="n">
        <x:v>50</x:v>
      </x:c>
      <x:c r="M71" s="12" t="n">
        <x:f>DATE(YEAR(C71),MONTH(C71),1)</x:f>
        <x:v>45413</x:v>
      </x:c>
      <x:c r="N71" t="str">
        <x:f>IF(ABS(E71+H71+J71-K71-L71)&lt;0.001,"OK","REVER")</x:f>
        <x:v>OK</x:v>
      </x:c>
    </x:row>
    <x:row r="72" ht="22" customHeight="1">
      <x:c r="A72" t="n">
        <x:v>3301</x:v>
      </x:c>
      <x:c r="B72" t="str">
        <x:v>Standard</x:v>
      </x:c>
      <x:c r="C72" s="10" t="n">
        <x:v>45418</x:v>
      </x:c>
      <x:c r="D72" t="str">
        <x:v>Sim</x:v>
      </x:c>
      <x:c r="E72" s="14" t="n">
        <x:v>10</x:v>
      </x:c>
      <x:c r="F72" t="str">
        <x:v>Mensal</x:v>
      </x:c>
      <x:c r="G72" t="str">
        <x:v>Não</x:v>
      </x:c>
      <x:c r="H72" s="14" t="n">
        <x:v>0</x:v>
      </x:c>
      <x:c r="I72" t="str">
        <x:v>Sim</x:v>
      </x:c>
      <x:c r="J72" s="14" t="n">
        <x:v>20</x:v>
      </x:c>
      <x:c r="K72" s="14" t="n">
        <x:v>5</x:v>
      </x:c>
      <x:c r="L72" s="14" t="n">
        <x:v>25</x:v>
      </x:c>
      <x:c r="M72" s="12" t="n">
        <x:f>DATE(YEAR(C72),MONTH(C72),1)</x:f>
        <x:v>45413</x:v>
      </x:c>
      <x:c r="N72" t="str">
        <x:f>IF(ABS(E72+H72+J72-K72-L72)&lt;0.001,"OK","REVER")</x:f>
        <x:v>OK</x:v>
      </x:c>
    </x:row>
    <x:row r="73" ht="22" customHeight="1">
      <x:c r="A73" t="n">
        <x:v>3302</x:v>
      </x:c>
      <x:c r="B73" t="str">
        <x:v>Core</x:v>
      </x:c>
      <x:c r="C73" s="10" t="n">
        <x:v>45419</x:v>
      </x:c>
      <x:c r="D73" t="str">
        <x:v>Não</x:v>
      </x:c>
      <x:c r="E73" s="14" t="n">
        <x:v>5</x:v>
      </x:c>
      <x:c r="F73" t="str">
        <x:v>Anual</x:v>
      </x:c>
      <x:c r="G73" t="str">
        <x:v>Não</x:v>
      </x:c>
      <x:c r="H73" s="14" t="n">
        <x:v>0</x:v>
      </x:c>
      <x:c r="I73" t="str">
        <x:v>Não</x:v>
      </x:c>
      <x:c r="J73" s="14" t="n">
        <x:v>0</x:v>
      </x:c>
      <x:c r="K73" s="14" t="n">
        <x:v>0</x:v>
      </x:c>
      <x:c r="L73" s="14" t="n">
        <x:v>5</x:v>
      </x:c>
      <x:c r="M73" s="12" t="n">
        <x:f>DATE(YEAR(C73),MONTH(C73),1)</x:f>
        <x:v>45413</x:v>
      </x:c>
      <x:c r="N73" t="str">
        <x:f>IF(ABS(E73+H73+J73-K73-L73)&lt;0.001,"OK","REVER")</x:f>
        <x:v>OK</x:v>
      </x:c>
    </x:row>
    <x:row r="74" ht="22" customHeight="1">
      <x:c r="A74" t="n">
        <x:v>3303</x:v>
      </x:c>
      <x:c r="B74" t="str">
        <x:v>Ultimate</x:v>
      </x:c>
      <x:c r="C74" s="10" t="n">
        <x:v>45420</x:v>
      </x:c>
      <x:c r="D74" t="str">
        <x:v>Sim</x:v>
      </x:c>
      <x:c r="E74" s="14" t="n">
        <x:v>15</x:v>
      </x:c>
      <x:c r="F74" t="str">
        <x:v>Trimestral</x:v>
      </x:c>
      <x:c r="G74" t="str">
        <x:v>Sim</x:v>
      </x:c>
      <x:c r="H74" s="14" t="n">
        <x:v>30</x:v>
      </x:c>
      <x:c r="I74" t="str">
        <x:v>Sim</x:v>
      </x:c>
      <x:c r="J74" s="14" t="n">
        <x:v>20</x:v>
      </x:c>
      <x:c r="K74" s="14" t="n">
        <x:v>20</x:v>
      </x:c>
      <x:c r="L74" s="14" t="n">
        <x:v>45</x:v>
      </x:c>
      <x:c r="M74" s="12" t="n">
        <x:f>DATE(YEAR(C74),MONTH(C74),1)</x:f>
        <x:v>45413</x:v>
      </x:c>
      <x:c r="N74" t="str">
        <x:f>IF(ABS(E74+H74+J74-K74-L74)&lt;0.001,"OK","REVER")</x:f>
        <x:v>OK</x:v>
      </x:c>
    </x:row>
    <x:row r="75" ht="22" customHeight="1">
      <x:c r="A75" t="n">
        <x:v>3304</x:v>
      </x:c>
      <x:c r="B75" t="str">
        <x:v>Standard</x:v>
      </x:c>
      <x:c r="C75" s="10" t="n">
        <x:v>45421</x:v>
      </x:c>
      <x:c r="D75" t="str">
        <x:v>Não</x:v>
      </x:c>
      <x:c r="E75" s="14" t="n">
        <x:v>10</x:v>
      </x:c>
      <x:c r="F75" t="str">
        <x:v>Trimestral</x:v>
      </x:c>
      <x:c r="G75" t="str">
        <x:v>Não</x:v>
      </x:c>
      <x:c r="H75" s="14" t="n">
        <x:v>0</x:v>
      </x:c>
      <x:c r="I75" t="str">
        <x:v>Sim</x:v>
      </x:c>
      <x:c r="J75" s="14" t="n">
        <x:v>20</x:v>
      </x:c>
      <x:c r="K75" s="14" t="n">
        <x:v>12</x:v>
      </x:c>
      <x:c r="L75" s="14" t="n">
        <x:v>18</x:v>
      </x:c>
      <x:c r="M75" s="12" t="n">
        <x:f>DATE(YEAR(C75),MONTH(C75),1)</x:f>
        <x:v>45413</x:v>
      </x:c>
      <x:c r="N75" t="str">
        <x:f>IF(ABS(E75+H75+J75-K75-L75)&lt;0.001,"OK","REVER")</x:f>
        <x:v>OK</x:v>
      </x:c>
    </x:row>
    <x:row r="76" ht="22" customHeight="1">
      <x:c r="A76" t="n">
        <x:v>3305</x:v>
      </x:c>
      <x:c r="B76" t="str">
        <x:v>Core</x:v>
      </x:c>
      <x:c r="C76" s="10" t="n">
        <x:v>45422</x:v>
      </x:c>
      <x:c r="D76" t="str">
        <x:v>Sim</x:v>
      </x:c>
      <x:c r="E76" s="14" t="n">
        <x:v>5</x:v>
      </x:c>
      <x:c r="F76" t="str">
        <x:v>Mensal</x:v>
      </x:c>
      <x:c r="G76" t="str">
        <x:v>Não</x:v>
      </x:c>
      <x:c r="H76" s="14" t="n">
        <x:v>0</x:v>
      </x:c>
      <x:c r="I76" t="str">
        <x:v>Não</x:v>
      </x:c>
      <x:c r="J76" s="14" t="n">
        <x:v>0</x:v>
      </x:c>
      <x:c r="K76" s="14" t="n">
        <x:v>2</x:v>
      </x:c>
      <x:c r="L76" s="14" t="n">
        <x:v>3</x:v>
      </x:c>
      <x:c r="M76" s="12" t="n">
        <x:f>DATE(YEAR(C76),MONTH(C76),1)</x:f>
        <x:v>45413</x:v>
      </x:c>
      <x:c r="N76" t="str">
        <x:f>IF(ABS(E76+H76+J76-K76-L76)&lt;0.001,"OK","REVER")</x:f>
        <x:v>OK</x:v>
      </x:c>
    </x:row>
    <x:row r="77" ht="22" customHeight="1">
      <x:c r="A77" t="n">
        <x:v>3306</x:v>
      </x:c>
      <x:c r="B77" t="str">
        <x:v>Ultimate</x:v>
      </x:c>
      <x:c r="C77" s="10" t="n">
        <x:v>45423</x:v>
      </x:c>
      <x:c r="D77" t="str">
        <x:v>Não</x:v>
      </x:c>
      <x:c r="E77" s="14" t="n">
        <x:v>15</x:v>
      </x:c>
      <x:c r="F77" t="str">
        <x:v>Anual</x:v>
      </x:c>
      <x:c r="G77" t="str">
        <x:v>Sim</x:v>
      </x:c>
      <x:c r="H77" s="14" t="n">
        <x:v>30</x:v>
      </x:c>
      <x:c r="I77" t="str">
        <x:v>Sim</x:v>
      </x:c>
      <x:c r="J77" s="14" t="n">
        <x:v>20</x:v>
      </x:c>
      <x:c r="K77" s="14" t="n">
        <x:v>5</x:v>
      </x:c>
      <x:c r="L77" s="14" t="n">
        <x:v>60</x:v>
      </x:c>
      <x:c r="M77" s="12" t="n">
        <x:f>DATE(YEAR(C77),MONTH(C77),1)</x:f>
        <x:v>45413</x:v>
      </x:c>
      <x:c r="N77" t="str">
        <x:f>IF(ABS(E77+H77+J77-K77-L77)&lt;0.001,"OK","REVER")</x:f>
        <x:v>OK</x:v>
      </x:c>
    </x:row>
    <x:row r="78" ht="22" customHeight="1">
      <x:c r="A78" t="n">
        <x:v>3307</x:v>
      </x:c>
      <x:c r="B78" t="str">
        <x:v>Standard</x:v>
      </x:c>
      <x:c r="C78" s="10" t="n">
        <x:v>45424</x:v>
      </x:c>
      <x:c r="D78" t="str">
        <x:v>Sim</x:v>
      </x:c>
      <x:c r="E78" s="14" t="n">
        <x:v>10</x:v>
      </x:c>
      <x:c r="F78" t="str">
        <x:v>Mensal</x:v>
      </x:c>
      <x:c r="G78" t="str">
        <x:v>Não</x:v>
      </x:c>
      <x:c r="H78" s="14" t="n">
        <x:v>0</x:v>
      </x:c>
      <x:c r="I78" t="str">
        <x:v>Sim</x:v>
      </x:c>
      <x:c r="J78" s="14" t="n">
        <x:v>20</x:v>
      </x:c>
      <x:c r="K78" s="14" t="n">
        <x:v>10</x:v>
      </x:c>
      <x:c r="L78" s="14" t="n">
        <x:v>20</x:v>
      </x:c>
      <x:c r="M78" s="12" t="n">
        <x:f>DATE(YEAR(C78),MONTH(C78),1)</x:f>
        <x:v>45413</x:v>
      </x:c>
      <x:c r="N78" t="str">
        <x:f>IF(ABS(E78+H78+J78-K78-L78)&lt;0.001,"OK","REVER")</x:f>
        <x:v>OK</x:v>
      </x:c>
    </x:row>
    <x:row r="79" ht="22" customHeight="1">
      <x:c r="A79" t="n">
        <x:v>3308</x:v>
      </x:c>
      <x:c r="B79" t="str">
        <x:v>Core</x:v>
      </x:c>
      <x:c r="C79" s="10" t="n">
        <x:v>45425</x:v>
      </x:c>
      <x:c r="D79" t="str">
        <x:v>Não</x:v>
      </x:c>
      <x:c r="E79" s="14" t="n">
        <x:v>5</x:v>
      </x:c>
      <x:c r="F79" t="str">
        <x:v>Trimestral</x:v>
      </x:c>
      <x:c r="G79" t="str">
        <x:v>Não</x:v>
      </x:c>
      <x:c r="H79" s="14" t="n">
        <x:v>0</x:v>
      </x:c>
      <x:c r="I79" t="str">
        <x:v>Não</x:v>
      </x:c>
      <x:c r="J79" s="14" t="n">
        <x:v>0</x:v>
      </x:c>
      <x:c r="K79" s="14" t="n">
        <x:v>0</x:v>
      </x:c>
      <x:c r="L79" s="14" t="n">
        <x:v>5</x:v>
      </x:c>
      <x:c r="M79" s="12" t="n">
        <x:f>DATE(YEAR(C79),MONTH(C79),1)</x:f>
        <x:v>45413</x:v>
      </x:c>
      <x:c r="N79" t="str">
        <x:f>IF(ABS(E79+H79+J79-K79-L79)&lt;0.001,"OK","REVER")</x:f>
        <x:v>OK</x:v>
      </x:c>
    </x:row>
    <x:row r="80" ht="22" customHeight="1">
      <x:c r="A80" t="n">
        <x:v>3309</x:v>
      </x:c>
      <x:c r="B80" t="str">
        <x:v>Ultimate</x:v>
      </x:c>
      <x:c r="C80" s="10" t="n">
        <x:v>45426</x:v>
      </x:c>
      <x:c r="D80" t="str">
        <x:v>Sim</x:v>
      </x:c>
      <x:c r="E80" s="14" t="n">
        <x:v>15</x:v>
      </x:c>
      <x:c r="F80" t="str">
        <x:v>Mensal</x:v>
      </x:c>
      <x:c r="G80" t="str">
        <x:v>Sim</x:v>
      </x:c>
      <x:c r="H80" s="14" t="n">
        <x:v>30</x:v>
      </x:c>
      <x:c r="I80" t="str">
        <x:v>Sim</x:v>
      </x:c>
      <x:c r="J80" s="14" t="n">
        <x:v>20</x:v>
      </x:c>
      <x:c r="K80" s="14" t="n">
        <x:v>3</x:v>
      </x:c>
      <x:c r="L80" s="14" t="n">
        <x:v>62</x:v>
      </x:c>
      <x:c r="M80" s="12" t="n">
        <x:f>DATE(YEAR(C80),MONTH(C80),1)</x:f>
        <x:v>45413</x:v>
      </x:c>
      <x:c r="N80" t="str">
        <x:f>IF(ABS(E80+H80+J80-K80-L80)&lt;0.001,"OK","REVER")</x:f>
        <x:v>OK</x:v>
      </x:c>
    </x:row>
    <x:row r="81" ht="22" customHeight="1">
      <x:c r="A81" t="n">
        <x:v>3310</x:v>
      </x:c>
      <x:c r="B81" t="str">
        <x:v>Standard</x:v>
      </x:c>
      <x:c r="C81" s="10" t="n">
        <x:v>45427</x:v>
      </x:c>
      <x:c r="D81" t="str">
        <x:v>Não</x:v>
      </x:c>
      <x:c r="E81" s="14" t="n">
        <x:v>10</x:v>
      </x:c>
      <x:c r="F81" t="str">
        <x:v>Anual</x:v>
      </x:c>
      <x:c r="G81" t="str">
        <x:v>Não</x:v>
      </x:c>
      <x:c r="H81" s="14" t="n">
        <x:v>0</x:v>
      </x:c>
      <x:c r="I81" t="str">
        <x:v>Sim</x:v>
      </x:c>
      <x:c r="J81" s="14" t="n">
        <x:v>20</x:v>
      </x:c>
      <x:c r="K81" s="14" t="n">
        <x:v>15</x:v>
      </x:c>
      <x:c r="L81" s="14" t="n">
        <x:v>15</x:v>
      </x:c>
      <x:c r="M81" s="12" t="n">
        <x:f>DATE(YEAR(C81),MONTH(C81),1)</x:f>
        <x:v>45413</x:v>
      </x:c>
      <x:c r="N81" t="str">
        <x:f>IF(ABS(E81+H81+J81-K81-L81)&lt;0.001,"OK","REVER")</x:f>
        <x:v>OK</x:v>
      </x:c>
    </x:row>
    <x:row r="82" ht="22" customHeight="1">
      <x:c r="A82" t="n">
        <x:v>3311</x:v>
      </x:c>
      <x:c r="B82" t="str">
        <x:v>Core</x:v>
      </x:c>
      <x:c r="C82" s="10" t="n">
        <x:v>45428</x:v>
      </x:c>
      <x:c r="D82" t="str">
        <x:v>Sim</x:v>
      </x:c>
      <x:c r="E82" s="14" t="n">
        <x:v>5</x:v>
      </x:c>
      <x:c r="F82" t="str">
        <x:v>Mensal</x:v>
      </x:c>
      <x:c r="G82" t="str">
        <x:v>Não</x:v>
      </x:c>
      <x:c r="H82" s="14" t="n">
        <x:v>0</x:v>
      </x:c>
      <x:c r="I82" t="str">
        <x:v>Não</x:v>
      </x:c>
      <x:c r="J82" s="14" t="n">
        <x:v>0</x:v>
      </x:c>
      <x:c r="K82" s="14" t="n">
        <x:v>1</x:v>
      </x:c>
      <x:c r="L82" s="14" t="n">
        <x:v>4</x:v>
      </x:c>
      <x:c r="M82" s="12" t="n">
        <x:f>DATE(YEAR(C82),MONTH(C82),1)</x:f>
        <x:v>45413</x:v>
      </x:c>
      <x:c r="N82" t="str">
        <x:f>IF(ABS(E82+H82+J82-K82-L82)&lt;0.001,"OK","REVER")</x:f>
        <x:v>OK</x:v>
      </x:c>
    </x:row>
    <x:row r="83" ht="22" customHeight="1">
      <x:c r="A83" t="n">
        <x:v>3312</x:v>
      </x:c>
      <x:c r="B83" t="str">
        <x:v>Ultimate</x:v>
      </x:c>
      <x:c r="C83" s="10" t="n">
        <x:v>45429</x:v>
      </x:c>
      <x:c r="D83" t="str">
        <x:v>Não</x:v>
      </x:c>
      <x:c r="E83" s="14" t="n">
        <x:v>15</x:v>
      </x:c>
      <x:c r="F83" t="str">
        <x:v>Trimestral</x:v>
      </x:c>
      <x:c r="G83" t="str">
        <x:v>Sim</x:v>
      </x:c>
      <x:c r="H83" s="14" t="n">
        <x:v>30</x:v>
      </x:c>
      <x:c r="I83" t="str">
        <x:v>Sim</x:v>
      </x:c>
      <x:c r="J83" s="14" t="n">
        <x:v>20</x:v>
      </x:c>
      <x:c r="K83" s="14" t="n">
        <x:v>7</x:v>
      </x:c>
      <x:c r="L83" s="14" t="n">
        <x:v>58</x:v>
      </x:c>
      <x:c r="M83" s="12" t="n">
        <x:f>DATE(YEAR(C83),MONTH(C83),1)</x:f>
        <x:v>45413</x:v>
      </x:c>
      <x:c r="N83" t="str">
        <x:f>IF(ABS(E83+H83+J83-K83-L83)&lt;0.001,"OK","REVER")</x:f>
        <x:v>OK</x:v>
      </x:c>
    </x:row>
    <x:row r="84" ht="22" customHeight="1">
      <x:c r="A84" t="n">
        <x:v>3313</x:v>
      </x:c>
      <x:c r="B84" t="str">
        <x:v>Standard</x:v>
      </x:c>
      <x:c r="C84" s="10" t="n">
        <x:v>45430</x:v>
      </x:c>
      <x:c r="D84" t="str">
        <x:v>Sim</x:v>
      </x:c>
      <x:c r="E84" s="14" t="n">
        <x:v>10</x:v>
      </x:c>
      <x:c r="F84" t="str">
        <x:v>Mensal</x:v>
      </x:c>
      <x:c r="G84" t="str">
        <x:v>Não</x:v>
      </x:c>
      <x:c r="H84" s="14" t="n">
        <x:v>0</x:v>
      </x:c>
      <x:c r="I84" t="str">
        <x:v>Sim</x:v>
      </x:c>
      <x:c r="J84" s="14" t="n">
        <x:v>20</x:v>
      </x:c>
      <x:c r="K84" s="14" t="n">
        <x:v>10</x:v>
      </x:c>
      <x:c r="L84" s="14" t="n">
        <x:v>20</x:v>
      </x:c>
      <x:c r="M84" s="12" t="n">
        <x:f>DATE(YEAR(C84),MONTH(C84),1)</x:f>
        <x:v>45413</x:v>
      </x:c>
      <x:c r="N84" t="str">
        <x:f>IF(ABS(E84+H84+J84-K84-L84)&lt;0.001,"OK","REVER")</x:f>
        <x:v>OK</x:v>
      </x:c>
    </x:row>
    <x:row r="85" ht="22" customHeight="1">
      <x:c r="A85" t="n">
        <x:v>3314</x:v>
      </x:c>
      <x:c r="B85" t="str">
        <x:v>Core</x:v>
      </x:c>
      <x:c r="C85" s="10" t="n">
        <x:v>45431</x:v>
      </x:c>
      <x:c r="D85" t="str">
        <x:v>Não</x:v>
      </x:c>
      <x:c r="E85" s="14" t="n">
        <x:v>5</x:v>
      </x:c>
      <x:c r="F85" t="str">
        <x:v>Anual</x:v>
      </x:c>
      <x:c r="G85" t="str">
        <x:v>Não</x:v>
      </x:c>
      <x:c r="H85" s="14" t="n">
        <x:v>0</x:v>
      </x:c>
      <x:c r="I85" t="str">
        <x:v>Não</x:v>
      </x:c>
      <x:c r="J85" s="14" t="n">
        <x:v>0</x:v>
      </x:c>
      <x:c r="K85" s="14" t="n">
        <x:v>0</x:v>
      </x:c>
      <x:c r="L85" s="14" t="n">
        <x:v>5</x:v>
      </x:c>
      <x:c r="M85" s="12" t="n">
        <x:f>DATE(YEAR(C85),MONTH(C85),1)</x:f>
        <x:v>45413</x:v>
      </x:c>
      <x:c r="N85" t="str">
        <x:f>IF(ABS(E85+H85+J85-K85-L85)&lt;0.001,"OK","REVER")</x:f>
        <x:v>OK</x:v>
      </x:c>
    </x:row>
    <x:row r="86" ht="22" customHeight="1">
      <x:c r="A86" t="n">
        <x:v>3315</x:v>
      </x:c>
      <x:c r="B86" t="str">
        <x:v>Ultimate</x:v>
      </x:c>
      <x:c r="C86" s="10" t="n">
        <x:v>45432</x:v>
      </x:c>
      <x:c r="D86" t="str">
        <x:v>Sim</x:v>
      </x:c>
      <x:c r="E86" s="14" t="n">
        <x:v>15</x:v>
      </x:c>
      <x:c r="F86" t="str">
        <x:v>Mensal</x:v>
      </x:c>
      <x:c r="G86" t="str">
        <x:v>Sim</x:v>
      </x:c>
      <x:c r="H86" s="14" t="n">
        <x:v>30</x:v>
      </x:c>
      <x:c r="I86" t="str">
        <x:v>Sim</x:v>
      </x:c>
      <x:c r="J86" s="14" t="n">
        <x:v>20</x:v>
      </x:c>
      <x:c r="K86" s="14" t="n">
        <x:v>20</x:v>
      </x:c>
      <x:c r="L86" s="14" t="n">
        <x:v>45</x:v>
      </x:c>
      <x:c r="M86" s="12" t="n">
        <x:f>DATE(YEAR(C86),MONTH(C86),1)</x:f>
        <x:v>45413</x:v>
      </x:c>
      <x:c r="N86" t="str">
        <x:f>IF(ABS(E86+H86+J86-K86-L86)&lt;0.001,"OK","REVER")</x:f>
        <x:v>OK</x:v>
      </x:c>
    </x:row>
    <x:row r="87" ht="22" customHeight="1">
      <x:c r="A87" t="n">
        <x:v>3316</x:v>
      </x:c>
      <x:c r="B87" t="str">
        <x:v>Standard</x:v>
      </x:c>
      <x:c r="C87" s="10" t="n">
        <x:v>45433</x:v>
      </x:c>
      <x:c r="D87" t="str">
        <x:v>Não</x:v>
      </x:c>
      <x:c r="E87" s="14" t="n">
        <x:v>10</x:v>
      </x:c>
      <x:c r="F87" t="str">
        <x:v>Trimestral</x:v>
      </x:c>
      <x:c r="G87" t="str">
        <x:v>Não</x:v>
      </x:c>
      <x:c r="H87" s="14" t="n">
        <x:v>0</x:v>
      </x:c>
      <x:c r="I87" t="str">
        <x:v>Sim</x:v>
      </x:c>
      <x:c r="J87" s="14" t="n">
        <x:v>20</x:v>
      </x:c>
      <x:c r="K87" s="14" t="n">
        <x:v>15</x:v>
      </x:c>
      <x:c r="L87" s="14" t="n">
        <x:v>15</x:v>
      </x:c>
      <x:c r="M87" s="12" t="n">
        <x:f>DATE(YEAR(C87),MONTH(C87),1)</x:f>
        <x:v>45413</x:v>
      </x:c>
      <x:c r="N87" t="str">
        <x:f>IF(ABS(E87+H87+J87-K87-L87)&lt;0.001,"OK","REVER")</x:f>
        <x:v>OK</x:v>
      </x:c>
    </x:row>
    <x:row r="88" ht="22" customHeight="1">
      <x:c r="A88" t="n">
        <x:v>3317</x:v>
      </x:c>
      <x:c r="B88" t="str">
        <x:v>Core</x:v>
      </x:c>
      <x:c r="C88" s="10" t="n">
        <x:v>45434</x:v>
      </x:c>
      <x:c r="D88" t="str">
        <x:v>Sim</x:v>
      </x:c>
      <x:c r="E88" s="14" t="n">
        <x:v>5</x:v>
      </x:c>
      <x:c r="F88" t="str">
        <x:v>Mensal</x:v>
      </x:c>
      <x:c r="G88" t="str">
        <x:v>Não</x:v>
      </x:c>
      <x:c r="H88" s="14" t="n">
        <x:v>0</x:v>
      </x:c>
      <x:c r="I88" t="str">
        <x:v>Não</x:v>
      </x:c>
      <x:c r="J88" s="14" t="n">
        <x:v>0</x:v>
      </x:c>
      <x:c r="K88" s="14" t="n">
        <x:v>1</x:v>
      </x:c>
      <x:c r="L88" s="14" t="n">
        <x:v>4</x:v>
      </x:c>
      <x:c r="M88" s="12" t="n">
        <x:f>DATE(YEAR(C88),MONTH(C88),1)</x:f>
        <x:v>45413</x:v>
      </x:c>
      <x:c r="N88" t="str">
        <x:f>IF(ABS(E88+H88+J88-K88-L88)&lt;0.001,"OK","REVER")</x:f>
        <x:v>OK</x:v>
      </x:c>
    </x:row>
    <x:row r="89" ht="22" customHeight="1">
      <x:c r="A89" t="n">
        <x:v>3318</x:v>
      </x:c>
      <x:c r="B89" t="str">
        <x:v>Ultimate</x:v>
      </x:c>
      <x:c r="C89" s="10" t="n">
        <x:v>45435</x:v>
      </x:c>
      <x:c r="D89" t="str">
        <x:v>Não</x:v>
      </x:c>
      <x:c r="E89" s="14" t="n">
        <x:v>15</x:v>
      </x:c>
      <x:c r="F89" t="str">
        <x:v>Anual</x:v>
      </x:c>
      <x:c r="G89" t="str">
        <x:v>Sim</x:v>
      </x:c>
      <x:c r="H89" s="14" t="n">
        <x:v>30</x:v>
      </x:c>
      <x:c r="I89" t="str">
        <x:v>Sim</x:v>
      </x:c>
      <x:c r="J89" s="14" t="n">
        <x:v>20</x:v>
      </x:c>
      <x:c r="K89" s="14" t="n">
        <x:v>3</x:v>
      </x:c>
      <x:c r="L89" s="14" t="n">
        <x:v>62</x:v>
      </x:c>
      <x:c r="M89" s="12" t="n">
        <x:f>DATE(YEAR(C89),MONTH(C89),1)</x:f>
        <x:v>45413</x:v>
      </x:c>
      <x:c r="N89" t="str">
        <x:f>IF(ABS(E89+H89+J89-K89-L89)&lt;0.001,"OK","REVER")</x:f>
        <x:v>OK</x:v>
      </x:c>
    </x:row>
    <x:row r="90" ht="22" customHeight="1">
      <x:c r="A90" t="n">
        <x:v>3319</x:v>
      </x:c>
      <x:c r="B90" t="str">
        <x:v>Standard</x:v>
      </x:c>
      <x:c r="C90" s="10" t="n">
        <x:v>45436</x:v>
      </x:c>
      <x:c r="D90" t="str">
        <x:v>Sim</x:v>
      </x:c>
      <x:c r="E90" s="14" t="n">
        <x:v>10</x:v>
      </x:c>
      <x:c r="F90" t="str">
        <x:v>Mensal</x:v>
      </x:c>
      <x:c r="G90" t="str">
        <x:v>Não</x:v>
      </x:c>
      <x:c r="H90" s="14" t="n">
        <x:v>0</x:v>
      </x:c>
      <x:c r="I90" t="str">
        <x:v>Sim</x:v>
      </x:c>
      <x:c r="J90" s="14" t="n">
        <x:v>20</x:v>
      </x:c>
      <x:c r="K90" s="14" t="n">
        <x:v>10</x:v>
      </x:c>
      <x:c r="L90" s="14" t="n">
        <x:v>20</x:v>
      </x:c>
      <x:c r="M90" s="12" t="n">
        <x:f>DATE(YEAR(C90),MONTH(C90),1)</x:f>
        <x:v>45413</x:v>
      </x:c>
      <x:c r="N90" t="str">
        <x:f>IF(ABS(E90+H90+J90-K90-L90)&lt;0.001,"OK","REVER")</x:f>
        <x:v>OK</x:v>
      </x:c>
    </x:row>
    <x:row r="91" ht="22" customHeight="1">
      <x:c r="A91" t="n">
        <x:v>3320</x:v>
      </x:c>
      <x:c r="B91" t="str">
        <x:v>Core</x:v>
      </x:c>
      <x:c r="C91" s="10" t="n">
        <x:v>45437</x:v>
      </x:c>
      <x:c r="D91" t="str">
        <x:v>Não</x:v>
      </x:c>
      <x:c r="E91" s="14" t="n">
        <x:v>5</x:v>
      </x:c>
      <x:c r="F91" t="str">
        <x:v>Trimestral</x:v>
      </x:c>
      <x:c r="G91" t="str">
        <x:v>Não</x:v>
      </x:c>
      <x:c r="H91" s="14" t="n">
        <x:v>0</x:v>
      </x:c>
      <x:c r="I91" t="str">
        <x:v>Não</x:v>
      </x:c>
      <x:c r="J91" s="14" t="n">
        <x:v>0</x:v>
      </x:c>
      <x:c r="K91" s="14" t="n">
        <x:v>0</x:v>
      </x:c>
      <x:c r="L91" s="14" t="n">
        <x:v>5</x:v>
      </x:c>
      <x:c r="M91" s="12" t="n">
        <x:f>DATE(YEAR(C91),MONTH(C91),1)</x:f>
        <x:v>45413</x:v>
      </x:c>
      <x:c r="N91" t="str">
        <x:f>IF(ABS(E91+H91+J91-K91-L91)&lt;0.001,"OK","REVER")</x:f>
        <x:v>OK</x:v>
      </x:c>
    </x:row>
    <x:row r="92" ht="22" customHeight="1">
      <x:c r="A92" t="n">
        <x:v>3321</x:v>
      </x:c>
      <x:c r="B92" t="str">
        <x:v>Ultimate</x:v>
      </x:c>
      <x:c r="C92" s="10" t="n">
        <x:v>45438</x:v>
      </x:c>
      <x:c r="D92" t="str">
        <x:v>Sim</x:v>
      </x:c>
      <x:c r="E92" s="14" t="n">
        <x:v>15</x:v>
      </x:c>
      <x:c r="F92" t="str">
        <x:v>Mensal</x:v>
      </x:c>
      <x:c r="G92" t="str">
        <x:v>Sim</x:v>
      </x:c>
      <x:c r="H92" s="14" t="n">
        <x:v>30</x:v>
      </x:c>
      <x:c r="I92" t="str">
        <x:v>Sim</x:v>
      </x:c>
      <x:c r="J92" s="14" t="n">
        <x:v>20</x:v>
      </x:c>
      <x:c r="K92" s="14" t="n">
        <x:v>5</x:v>
      </x:c>
      <x:c r="L92" s="14" t="n">
        <x:v>60</x:v>
      </x:c>
      <x:c r="M92" s="12" t="n">
        <x:f>DATE(YEAR(C92),MONTH(C92),1)</x:f>
        <x:v>45413</x:v>
      </x:c>
      <x:c r="N92" t="str">
        <x:f>IF(ABS(E92+H92+J92-K92-L92)&lt;0.001,"OK","REVER")</x:f>
        <x:v>OK</x:v>
      </x:c>
    </x:row>
    <x:row r="93" ht="22" customHeight="1">
      <x:c r="A93" t="n">
        <x:v>3322</x:v>
      </x:c>
      <x:c r="B93" t="str">
        <x:v>Standard</x:v>
      </x:c>
      <x:c r="C93" s="10" t="n">
        <x:v>45439</x:v>
      </x:c>
      <x:c r="D93" t="str">
        <x:v>Não</x:v>
      </x:c>
      <x:c r="E93" s="14" t="n">
        <x:v>10</x:v>
      </x:c>
      <x:c r="F93" t="str">
        <x:v>Anual</x:v>
      </x:c>
      <x:c r="G93" t="str">
        <x:v>Não</x:v>
      </x:c>
      <x:c r="H93" s="14" t="n">
        <x:v>0</x:v>
      </x:c>
      <x:c r="I93" t="str">
        <x:v>Sim</x:v>
      </x:c>
      <x:c r="J93" s="14" t="n">
        <x:v>20</x:v>
      </x:c>
      <x:c r="K93" s="14" t="n">
        <x:v>15</x:v>
      </x:c>
      <x:c r="L93" s="14" t="n">
        <x:v>15</x:v>
      </x:c>
      <x:c r="M93" s="12" t="n">
        <x:f>DATE(YEAR(C93),MONTH(C93),1)</x:f>
        <x:v>45413</x:v>
      </x:c>
      <x:c r="N93" t="str">
        <x:f>IF(ABS(E93+H93+J93-K93-L93)&lt;0.001,"OK","REVER")</x:f>
        <x:v>OK</x:v>
      </x:c>
    </x:row>
    <x:row r="94" ht="22" customHeight="1">
      <x:c r="A94" t="n">
        <x:v>3323</x:v>
      </x:c>
      <x:c r="B94" t="str">
        <x:v>Core</x:v>
      </x:c>
      <x:c r="C94" s="10" t="n">
        <x:v>45440</x:v>
      </x:c>
      <x:c r="D94" t="str">
        <x:v>Sim</x:v>
      </x:c>
      <x:c r="E94" s="14" t="n">
        <x:v>5</x:v>
      </x:c>
      <x:c r="F94" t="str">
        <x:v>Mensal</x:v>
      </x:c>
      <x:c r="G94" t="str">
        <x:v>Não</x:v>
      </x:c>
      <x:c r="H94" s="14" t="n">
        <x:v>0</x:v>
      </x:c>
      <x:c r="I94" t="str">
        <x:v>Não</x:v>
      </x:c>
      <x:c r="J94" s="14" t="n">
        <x:v>0</x:v>
      </x:c>
      <x:c r="K94" s="14" t="n">
        <x:v>1</x:v>
      </x:c>
      <x:c r="L94" s="14" t="n">
        <x:v>4</x:v>
      </x:c>
      <x:c r="M94" s="12" t="n">
        <x:f>DATE(YEAR(C94),MONTH(C94),1)</x:f>
        <x:v>45413</x:v>
      </x:c>
      <x:c r="N94" t="str">
        <x:f>IF(ABS(E94+H94+J94-K94-L94)&lt;0.001,"OK","REVER")</x:f>
        <x:v>OK</x:v>
      </x:c>
    </x:row>
    <x:row r="95" ht="22" customHeight="1">
      <x:c r="A95" t="n">
        <x:v>3324</x:v>
      </x:c>
      <x:c r="B95" t="str">
        <x:v>Ultimate</x:v>
      </x:c>
      <x:c r="C95" s="10" t="n">
        <x:v>45441</x:v>
      </x:c>
      <x:c r="D95" t="str">
        <x:v>Não</x:v>
      </x:c>
      <x:c r="E95" s="14" t="n">
        <x:v>15</x:v>
      </x:c>
      <x:c r="F95" t="str">
        <x:v>Trimestral</x:v>
      </x:c>
      <x:c r="G95" t="str">
        <x:v>Sim</x:v>
      </x:c>
      <x:c r="H95" s="14" t="n">
        <x:v>30</x:v>
      </x:c>
      <x:c r="I95" t="str">
        <x:v>Sim</x:v>
      </x:c>
      <x:c r="J95" s="14" t="n">
        <x:v>20</x:v>
      </x:c>
      <x:c r="K95" s="14" t="n">
        <x:v>20</x:v>
      </x:c>
      <x:c r="L95" s="14" t="n">
        <x:v>45</x:v>
      </x:c>
      <x:c r="M95" s="12" t="n">
        <x:f>DATE(YEAR(C95),MONTH(C95),1)</x:f>
        <x:v>45413</x:v>
      </x:c>
      <x:c r="N95" t="str">
        <x:f>IF(ABS(E95+H95+J95-K95-L95)&lt;0.001,"OK","REVER")</x:f>
        <x:v>OK</x:v>
      </x:c>
    </x:row>
    <x:row r="96" ht="22" customHeight="1">
      <x:c r="A96" t="n">
        <x:v>3325</x:v>
      </x:c>
      <x:c r="B96" t="str">
        <x:v>Standard</x:v>
      </x:c>
      <x:c r="C96" s="10" t="n">
        <x:v>45442</x:v>
      </x:c>
      <x:c r="D96" t="str">
        <x:v>Sim</x:v>
      </x:c>
      <x:c r="E96" s="14" t="n">
        <x:v>10</x:v>
      </x:c>
      <x:c r="F96" t="str">
        <x:v>Trimestral</x:v>
      </x:c>
      <x:c r="G96" t="str">
        <x:v>Não</x:v>
      </x:c>
      <x:c r="H96" s="14" t="n">
        <x:v>0</x:v>
      </x:c>
      <x:c r="I96" t="str">
        <x:v>Sim</x:v>
      </x:c>
      <x:c r="J96" s="14" t="n">
        <x:v>20</x:v>
      </x:c>
      <x:c r="K96" s="14" t="n">
        <x:v>15</x:v>
      </x:c>
      <x:c r="L96" s="14" t="n">
        <x:v>15</x:v>
      </x:c>
      <x:c r="M96" s="12" t="n">
        <x:f>DATE(YEAR(C96),MONTH(C96),1)</x:f>
        <x:v>45413</x:v>
      </x:c>
      <x:c r="N96" t="str">
        <x:f>IF(ABS(E96+H96+J96-K96-L96)&lt;0.001,"OK","REVER")</x:f>
        <x:v>OK</x:v>
      </x:c>
    </x:row>
    <x:row r="97" ht="22" customHeight="1">
      <x:c r="A97" t="n">
        <x:v>3326</x:v>
      </x:c>
      <x:c r="B97" t="str">
        <x:v>Core</x:v>
      </x:c>
      <x:c r="C97" s="10" t="n">
        <x:v>45443</x:v>
      </x:c>
      <x:c r="D97" t="str">
        <x:v>Não</x:v>
      </x:c>
      <x:c r="E97" s="14" t="n">
        <x:v>5</x:v>
      </x:c>
      <x:c r="F97" t="str">
        <x:v>Anual</x:v>
      </x:c>
      <x:c r="G97" t="str">
        <x:v>Não</x:v>
      </x:c>
      <x:c r="H97" s="14" t="n">
        <x:v>0</x:v>
      </x:c>
      <x:c r="I97" t="str">
        <x:v>Não</x:v>
      </x:c>
      <x:c r="J97" s="14" t="n">
        <x:v>0</x:v>
      </x:c>
      <x:c r="K97" s="14" t="n">
        <x:v>0</x:v>
      </x:c>
      <x:c r="L97" s="14" t="n">
        <x:v>5</x:v>
      </x:c>
      <x:c r="M97" s="12" t="n">
        <x:f>DATE(YEAR(C97),MONTH(C97),1)</x:f>
        <x:v>45413</x:v>
      </x:c>
      <x:c r="N97" t="str">
        <x:f>IF(ABS(E97+H97+J97-K97-L97)&lt;0.001,"OK","REVER")</x:f>
        <x:v>OK</x:v>
      </x:c>
    </x:row>
    <x:row r="98" ht="22" customHeight="1">
      <x:c r="A98" t="n">
        <x:v>3327</x:v>
      </x:c>
      <x:c r="B98" t="str">
        <x:v>Ultimate</x:v>
      </x:c>
      <x:c r="C98" s="10" t="n">
        <x:v>45444</x:v>
      </x:c>
      <x:c r="D98" t="str">
        <x:v>Sim</x:v>
      </x:c>
      <x:c r="E98" s="14" t="n">
        <x:v>15</x:v>
      </x:c>
      <x:c r="F98" t="str">
        <x:v>Mensal</x:v>
      </x:c>
      <x:c r="G98" t="str">
        <x:v>Sim</x:v>
      </x:c>
      <x:c r="H98" s="14" t="n">
        <x:v>30</x:v>
      </x:c>
      <x:c r="I98" t="str">
        <x:v>Sim</x:v>
      </x:c>
      <x:c r="J98" s="14" t="n">
        <x:v>20</x:v>
      </x:c>
      <x:c r="K98" s="14" t="n">
        <x:v>7</x:v>
      </x:c>
      <x:c r="L98" s="14" t="n">
        <x:v>58</x:v>
      </x:c>
      <x:c r="M98" s="12" t="n">
        <x:f>DATE(YEAR(C98),MONTH(C98),1)</x:f>
        <x:v>45444</x:v>
      </x:c>
      <x:c r="N98" t="str">
        <x:f>IF(ABS(E98+H98+J98-K98-L98)&lt;0.001,"OK","REVER")</x:f>
        <x:v>OK</x:v>
      </x:c>
    </x:row>
    <x:row r="99" ht="22" customHeight="1">
      <x:c r="A99" t="n">
        <x:v>3328</x:v>
      </x:c>
      <x:c r="B99" t="str">
        <x:v>Standard</x:v>
      </x:c>
      <x:c r="C99" s="10" t="n">
        <x:v>45445</x:v>
      </x:c>
      <x:c r="D99" t="str">
        <x:v>Não</x:v>
      </x:c>
      <x:c r="E99" s="14" t="n">
        <x:v>10</x:v>
      </x:c>
      <x:c r="F99" t="str">
        <x:v>Anual</x:v>
      </x:c>
      <x:c r="G99" t="str">
        <x:v>Não</x:v>
      </x:c>
      <x:c r="H99" s="14" t="n">
        <x:v>0</x:v>
      </x:c>
      <x:c r="I99" t="str">
        <x:v>Sim</x:v>
      </x:c>
      <x:c r="J99" s="14" t="n">
        <x:v>20</x:v>
      </x:c>
      <x:c r="K99" s="14" t="n">
        <x:v>10</x:v>
      </x:c>
      <x:c r="L99" s="14" t="n">
        <x:v>20</x:v>
      </x:c>
      <x:c r="M99" s="12" t="n">
        <x:f>DATE(YEAR(C99),MONTH(C99),1)</x:f>
        <x:v>45444</x:v>
      </x:c>
      <x:c r="N99" t="str">
        <x:f>IF(ABS(E99+H99+J99-K99-L99)&lt;0.001,"OK","REVER")</x:f>
        <x:v>OK</x:v>
      </x:c>
    </x:row>
    <x:row r="100" ht="22" customHeight="1">
      <x:c r="A100" t="n">
        <x:v>3329</x:v>
      </x:c>
      <x:c r="B100" t="str">
        <x:v>Core</x:v>
      </x:c>
      <x:c r="C100" s="10" t="n">
        <x:v>45446</x:v>
      </x:c>
      <x:c r="D100" t="str">
        <x:v>Sim</x:v>
      </x:c>
      <x:c r="E100" s="14" t="n">
        <x:v>5</x:v>
      </x:c>
      <x:c r="F100" t="str">
        <x:v>Trimestral</x:v>
      </x:c>
      <x:c r="G100" t="str">
        <x:v>Não</x:v>
      </x:c>
      <x:c r="H100" s="14" t="n">
        <x:v>0</x:v>
      </x:c>
      <x:c r="I100" t="str">
        <x:v>Não</x:v>
      </x:c>
      <x:c r="J100" s="14" t="n">
        <x:v>0</x:v>
      </x:c>
      <x:c r="K100" s="14" t="n">
        <x:v>1</x:v>
      </x:c>
      <x:c r="L100" s="14" t="n">
        <x:v>4</x:v>
      </x:c>
      <x:c r="M100" s="12" t="n">
        <x:f>DATE(YEAR(C100),MONTH(C100),1)</x:f>
        <x:v>45444</x:v>
      </x:c>
      <x:c r="N100" t="str">
        <x:f>IF(ABS(E100+H100+J100-K100-L100)&lt;0.001,"OK","REVER")</x:f>
        <x:v>OK</x:v>
      </x:c>
    </x:row>
    <x:row r="101" ht="22" customHeight="1">
      <x:c r="A101" t="n">
        <x:v>3330</x:v>
      </x:c>
      <x:c r="B101" t="str">
        <x:v>Ultimate</x:v>
      </x:c>
      <x:c r="C101" s="10" t="n">
        <x:v>45447</x:v>
      </x:c>
      <x:c r="D101" t="str">
        <x:v>Não</x:v>
      </x:c>
      <x:c r="E101" s="14" t="n">
        <x:v>15</x:v>
      </x:c>
      <x:c r="F101" t="str">
        <x:v>Mensal</x:v>
      </x:c>
      <x:c r="G101" t="str">
        <x:v>Sim</x:v>
      </x:c>
      <x:c r="H101" s="14" t="n">
        <x:v>30</x:v>
      </x:c>
      <x:c r="I101" t="str">
        <x:v>Sim</x:v>
      </x:c>
      <x:c r="J101" s="14" t="n">
        <x:v>20</x:v>
      </x:c>
      <x:c r="K101" s="14" t="n">
        <x:v>15</x:v>
      </x:c>
      <x:c r="L101" s="14" t="n">
        <x:v>50</x:v>
      </x:c>
      <x:c r="M101" s="12" t="n">
        <x:f>DATE(YEAR(C101),MONTH(C101),1)</x:f>
        <x:v>45444</x:v>
      </x:c>
      <x:c r="N101" t="str">
        <x:f>IF(ABS(E101+H101+J101-K101-L101)&lt;0.001,"OK","REVER")</x:f>
        <x:v>OK</x:v>
      </x:c>
    </x:row>
    <x:row r="102" ht="22" customHeight="1">
      <x:c r="A102" t="n">
        <x:v>3331</x:v>
      </x:c>
      <x:c r="B102" t="str">
        <x:v>Standard</x:v>
      </x:c>
      <x:c r="C102" s="10" t="n">
        <x:v>45448</x:v>
      </x:c>
      <x:c r="D102" t="str">
        <x:v>Sim</x:v>
      </x:c>
      <x:c r="E102" s="14" t="n">
        <x:v>10</x:v>
      </x:c>
      <x:c r="F102" t="str">
        <x:v>Mensal</x:v>
      </x:c>
      <x:c r="G102" t="str">
        <x:v>Não</x:v>
      </x:c>
      <x:c r="H102" s="14" t="n">
        <x:v>0</x:v>
      </x:c>
      <x:c r="I102" t="str">
        <x:v>Sim</x:v>
      </x:c>
      <x:c r="J102" s="14" t="n">
        <x:v>20</x:v>
      </x:c>
      <x:c r="K102" s="14" t="n">
        <x:v>5</x:v>
      </x:c>
      <x:c r="L102" s="14" t="n">
        <x:v>25</x:v>
      </x:c>
      <x:c r="M102" s="12" t="n">
        <x:f>DATE(YEAR(C102),MONTH(C102),1)</x:f>
        <x:v>45444</x:v>
      </x:c>
      <x:c r="N102" t="str">
        <x:f>IF(ABS(E102+H102+J102-K102-L102)&lt;0.001,"OK","REVER")</x:f>
        <x:v>OK</x:v>
      </x:c>
    </x:row>
    <x:row r="103" ht="22" customHeight="1">
      <x:c r="A103" t="n">
        <x:v>3332</x:v>
      </x:c>
      <x:c r="B103" t="str">
        <x:v>Core</x:v>
      </x:c>
      <x:c r="C103" s="10" t="n">
        <x:v>45449</x:v>
      </x:c>
      <x:c r="D103" t="str">
        <x:v>Não</x:v>
      </x:c>
      <x:c r="E103" s="14" t="n">
        <x:v>5</x:v>
      </x:c>
      <x:c r="F103" t="str">
        <x:v>Anual</x:v>
      </x:c>
      <x:c r="G103" t="str">
        <x:v>Não</x:v>
      </x:c>
      <x:c r="H103" s="14" t="n">
        <x:v>0</x:v>
      </x:c>
      <x:c r="I103" t="str">
        <x:v>Não</x:v>
      </x:c>
      <x:c r="J103" s="14" t="n">
        <x:v>0</x:v>
      </x:c>
      <x:c r="K103" s="14" t="n">
        <x:v>0</x:v>
      </x:c>
      <x:c r="L103" s="14" t="n">
        <x:v>5</x:v>
      </x:c>
      <x:c r="M103" s="12" t="n">
        <x:f>DATE(YEAR(C103),MONTH(C103),1)</x:f>
        <x:v>45444</x:v>
      </x:c>
      <x:c r="N103" t="str">
        <x:f>IF(ABS(E103+H103+J103-K103-L103)&lt;0.001,"OK","REVER")</x:f>
        <x:v>OK</x:v>
      </x:c>
    </x:row>
    <x:row r="104" ht="22" customHeight="1">
      <x:c r="A104" t="n">
        <x:v>3333</x:v>
      </x:c>
      <x:c r="B104" t="str">
        <x:v>Ultimate</x:v>
      </x:c>
      <x:c r="C104" s="10" t="n">
        <x:v>45450</x:v>
      </x:c>
      <x:c r="D104" t="str">
        <x:v>Sim</x:v>
      </x:c>
      <x:c r="E104" s="14" t="n">
        <x:v>15</x:v>
      </x:c>
      <x:c r="F104" t="str">
        <x:v>Trimestral</x:v>
      </x:c>
      <x:c r="G104" t="str">
        <x:v>Sim</x:v>
      </x:c>
      <x:c r="H104" s="14" t="n">
        <x:v>30</x:v>
      </x:c>
      <x:c r="I104" t="str">
        <x:v>Sim</x:v>
      </x:c>
      <x:c r="J104" s="14" t="n">
        <x:v>20</x:v>
      </x:c>
      <x:c r="K104" s="14" t="n">
        <x:v>20</x:v>
      </x:c>
      <x:c r="L104" s="14" t="n">
        <x:v>45</x:v>
      </x:c>
      <x:c r="M104" s="12" t="n">
        <x:f>DATE(YEAR(C104),MONTH(C104),1)</x:f>
        <x:v>45444</x:v>
      </x:c>
      <x:c r="N104" t="str">
        <x:f>IF(ABS(E104+H104+J104-K104-L104)&lt;0.001,"OK","REVER")</x:f>
        <x:v>OK</x:v>
      </x:c>
    </x:row>
    <x:row r="105" ht="22" customHeight="1">
      <x:c r="A105" t="n">
        <x:v>3334</x:v>
      </x:c>
      <x:c r="B105" t="str">
        <x:v>Standard</x:v>
      </x:c>
      <x:c r="C105" s="10" t="n">
        <x:v>45451</x:v>
      </x:c>
      <x:c r="D105" t="str">
        <x:v>Não</x:v>
      </x:c>
      <x:c r="E105" s="14" t="n">
        <x:v>10</x:v>
      </x:c>
      <x:c r="F105" t="str">
        <x:v>Trimestral</x:v>
      </x:c>
      <x:c r="G105" t="str">
        <x:v>Não</x:v>
      </x:c>
      <x:c r="H105" s="14" t="n">
        <x:v>0</x:v>
      </x:c>
      <x:c r="I105" t="str">
        <x:v>Sim</x:v>
      </x:c>
      <x:c r="J105" s="14" t="n">
        <x:v>20</x:v>
      </x:c>
      <x:c r="K105" s="14" t="n">
        <x:v>12</x:v>
      </x:c>
      <x:c r="L105" s="14" t="n">
        <x:v>18</x:v>
      </x:c>
      <x:c r="M105" s="12" t="n">
        <x:f>DATE(YEAR(C105),MONTH(C105),1)</x:f>
        <x:v>45444</x:v>
      </x:c>
      <x:c r="N105" t="str">
        <x:f>IF(ABS(E105+H105+J105-K105-L105)&lt;0.001,"OK","REVER")</x:f>
        <x:v>OK</x:v>
      </x:c>
    </x:row>
    <x:row r="106" ht="22" customHeight="1">
      <x:c r="A106" t="n">
        <x:v>3335</x:v>
      </x:c>
      <x:c r="B106" t="str">
        <x:v>Core</x:v>
      </x:c>
      <x:c r="C106" s="10" t="n">
        <x:v>45452</x:v>
      </x:c>
      <x:c r="D106" t="str">
        <x:v>Sim</x:v>
      </x:c>
      <x:c r="E106" s="14" t="n">
        <x:v>5</x:v>
      </x:c>
      <x:c r="F106" t="str">
        <x:v>Mensal</x:v>
      </x:c>
      <x:c r="G106" t="str">
        <x:v>Não</x:v>
      </x:c>
      <x:c r="H106" s="14" t="n">
        <x:v>0</x:v>
      </x:c>
      <x:c r="I106" t="str">
        <x:v>Não</x:v>
      </x:c>
      <x:c r="J106" s="14" t="n">
        <x:v>0</x:v>
      </x:c>
      <x:c r="K106" s="14" t="n">
        <x:v>2</x:v>
      </x:c>
      <x:c r="L106" s="14" t="n">
        <x:v>3</x:v>
      </x:c>
      <x:c r="M106" s="12" t="n">
        <x:f>DATE(YEAR(C106),MONTH(C106),1)</x:f>
        <x:v>45444</x:v>
      </x:c>
      <x:c r="N106" t="str">
        <x:f>IF(ABS(E106+H106+J106-K106-L106)&lt;0.001,"OK","REVER")</x:f>
        <x:v>OK</x:v>
      </x:c>
    </x:row>
    <x:row r="107" ht="22" customHeight="1">
      <x:c r="A107" t="n">
        <x:v>3336</x:v>
      </x:c>
      <x:c r="B107" t="str">
        <x:v>Core</x:v>
      </x:c>
      <x:c r="C107" s="10" t="n">
        <x:v>45453</x:v>
      </x:c>
      <x:c r="D107" t="str">
        <x:v>Sim</x:v>
      </x:c>
      <x:c r="E107" s="14" t="n">
        <x:v>5</x:v>
      </x:c>
      <x:c r="F107" t="str">
        <x:v>Mensal</x:v>
      </x:c>
      <x:c r="G107" t="str">
        <x:v>Não</x:v>
      </x:c>
      <x:c r="H107" s="14" t="n">
        <x:v>0</x:v>
      </x:c>
      <x:c r="I107" t="str">
        <x:v>Não</x:v>
      </x:c>
      <x:c r="J107" s="14" t="n">
        <x:v>0</x:v>
      </x:c>
      <x:c r="K107" s="14" t="n">
        <x:v>0</x:v>
      </x:c>
      <x:c r="L107" s="14" t="n">
        <x:v>5</x:v>
      </x:c>
      <x:c r="M107" s="12" t="n">
        <x:f>DATE(YEAR(C107),MONTH(C107),1)</x:f>
        <x:v>45444</x:v>
      </x:c>
      <x:c r="N107" t="str">
        <x:f>IF(ABS(E107+H107+J107-K107-L107)&lt;0.001,"OK","REVER")</x:f>
        <x:v>OK</x:v>
      </x:c>
    </x:row>
    <x:row r="108" ht="22" customHeight="1">
      <x:c r="A108" t="n">
        <x:v>3337</x:v>
      </x:c>
      <x:c r="B108" t="str">
        <x:v>Ultimate</x:v>
      </x:c>
      <x:c r="C108" s="10" t="n">
        <x:v>45454</x:v>
      </x:c>
      <x:c r="D108" t="str">
        <x:v>Não</x:v>
      </x:c>
      <x:c r="E108" s="14" t="n">
        <x:v>15</x:v>
      </x:c>
      <x:c r="F108" t="str">
        <x:v>Trimestral</x:v>
      </x:c>
      <x:c r="G108" t="str">
        <x:v>Sim</x:v>
      </x:c>
      <x:c r="H108" s="14" t="n">
        <x:v>30</x:v>
      </x:c>
      <x:c r="I108" t="str">
        <x:v>Sim</x:v>
      </x:c>
      <x:c r="J108" s="14" t="n">
        <x:v>20</x:v>
      </x:c>
      <x:c r="K108" s="14" t="n">
        <x:v>7</x:v>
      </x:c>
      <x:c r="L108" s="14" t="n">
        <x:v>58</x:v>
      </x:c>
      <x:c r="M108" s="12" t="n">
        <x:f>DATE(YEAR(C108),MONTH(C108),1)</x:f>
        <x:v>45444</x:v>
      </x:c>
      <x:c r="N108" t="str">
        <x:f>IF(ABS(E108+H108+J108-K108-L108)&lt;0.001,"OK","REVER")</x:f>
        <x:v>OK</x:v>
      </x:c>
    </x:row>
    <x:row r="109" ht="22" customHeight="1">
      <x:c r="A109" t="n">
        <x:v>3338</x:v>
      </x:c>
      <x:c r="B109" t="str">
        <x:v>Standard</x:v>
      </x:c>
      <x:c r="C109" s="10" t="n">
        <x:v>45455</x:v>
      </x:c>
      <x:c r="D109" t="str">
        <x:v>Sim</x:v>
      </x:c>
      <x:c r="E109" s="14" t="n">
        <x:v>10</x:v>
      </x:c>
      <x:c r="F109" t="str">
        <x:v>Anual</x:v>
      </x:c>
      <x:c r="G109" t="str">
        <x:v>Não</x:v>
      </x:c>
      <x:c r="H109" s="14" t="n">
        <x:v>0</x:v>
      </x:c>
      <x:c r="I109" t="str">
        <x:v>Sim</x:v>
      </x:c>
      <x:c r="J109" s="14" t="n">
        <x:v>20</x:v>
      </x:c>
      <x:c r="K109" s="14" t="n">
        <x:v>10</x:v>
      </x:c>
      <x:c r="L109" s="14" t="n">
        <x:v>20</x:v>
      </x:c>
      <x:c r="M109" s="12" t="n">
        <x:f>DATE(YEAR(C109),MONTH(C109),1)</x:f>
        <x:v>45444</x:v>
      </x:c>
      <x:c r="N109" t="str">
        <x:f>IF(ABS(E109+H109+J109-K109-L109)&lt;0.001,"OK","REVER")</x:f>
        <x:v>OK</x:v>
      </x:c>
    </x:row>
    <x:row r="110" ht="22" customHeight="1">
      <x:c r="A110" t="n">
        <x:v>3339</x:v>
      </x:c>
      <x:c r="B110" t="str">
        <x:v>Core</x:v>
      </x:c>
      <x:c r="C110" s="10" t="n">
        <x:v>45456</x:v>
      </x:c>
      <x:c r="D110" t="str">
        <x:v>Não</x:v>
      </x:c>
      <x:c r="E110" s="14" t="n">
        <x:v>5</x:v>
      </x:c>
      <x:c r="F110" t="str">
        <x:v>Trimestral</x:v>
      </x:c>
      <x:c r="G110" t="str">
        <x:v>Não</x:v>
      </x:c>
      <x:c r="H110" s="14" t="n">
        <x:v>0</x:v>
      </x:c>
      <x:c r="I110" t="str">
        <x:v>Não</x:v>
      </x:c>
      <x:c r="J110" s="14" t="n">
        <x:v>0</x:v>
      </x:c>
      <x:c r="K110" s="14" t="n">
        <x:v>1</x:v>
      </x:c>
      <x:c r="L110" s="14" t="n">
        <x:v>4</x:v>
      </x:c>
      <x:c r="M110" s="12" t="n">
        <x:f>DATE(YEAR(C110),MONTH(C110),1)</x:f>
        <x:v>45444</x:v>
      </x:c>
      <x:c r="N110" t="str">
        <x:f>IF(ABS(E110+H110+J110-K110-L110)&lt;0.001,"OK","REVER")</x:f>
        <x:v>OK</x:v>
      </x:c>
    </x:row>
    <x:row r="111" ht="22" customHeight="1">
      <x:c r="A111" t="n">
        <x:v>3340</x:v>
      </x:c>
      <x:c r="B111" t="str">
        <x:v>Ultimate</x:v>
      </x:c>
      <x:c r="C111" s="10" t="n">
        <x:v>45457</x:v>
      </x:c>
      <x:c r="D111" t="str">
        <x:v>Sim</x:v>
      </x:c>
      <x:c r="E111" s="14" t="n">
        <x:v>15</x:v>
      </x:c>
      <x:c r="F111" t="str">
        <x:v>Mensal</x:v>
      </x:c>
      <x:c r="G111" t="str">
        <x:v>Sim</x:v>
      </x:c>
      <x:c r="H111" s="14" t="n">
        <x:v>30</x:v>
      </x:c>
      <x:c r="I111" t="str">
        <x:v>Sim</x:v>
      </x:c>
      <x:c r="J111" s="14" t="n">
        <x:v>20</x:v>
      </x:c>
      <x:c r="K111" s="14" t="n">
        <x:v>15</x:v>
      </x:c>
      <x:c r="L111" s="14" t="n">
        <x:v>50</x:v>
      </x:c>
      <x:c r="M111" s="12" t="n">
        <x:f>DATE(YEAR(C111),MONTH(C111),1)</x:f>
        <x:v>45444</x:v>
      </x:c>
      <x:c r="N111" t="str">
        <x:f>IF(ABS(E111+H111+J111-K111-L111)&lt;0.001,"OK","REVER")</x:f>
        <x:v>OK</x:v>
      </x:c>
    </x:row>
    <x:row r="112" ht="22" customHeight="1">
      <x:c r="A112" t="n">
        <x:v>3341</x:v>
      </x:c>
      <x:c r="B112" t="str">
        <x:v>Standard</x:v>
      </x:c>
      <x:c r="C112" s="10" t="n">
        <x:v>45458</x:v>
      </x:c>
      <x:c r="D112" t="str">
        <x:v>Não</x:v>
      </x:c>
      <x:c r="E112" s="14" t="n">
        <x:v>10</x:v>
      </x:c>
      <x:c r="F112" t="str">
        <x:v>Mensal</x:v>
      </x:c>
      <x:c r="G112" t="str">
        <x:v>Não</x:v>
      </x:c>
      <x:c r="H112" s="14" t="n">
        <x:v>0</x:v>
      </x:c>
      <x:c r="I112" t="str">
        <x:v>Sim</x:v>
      </x:c>
      <x:c r="J112" s="14" t="n">
        <x:v>20</x:v>
      </x:c>
      <x:c r="K112" s="14" t="n">
        <x:v>5</x:v>
      </x:c>
      <x:c r="L112" s="14" t="n">
        <x:v>25</x:v>
      </x:c>
      <x:c r="M112" s="12" t="n">
        <x:f>DATE(YEAR(C112),MONTH(C112),1)</x:f>
        <x:v>45444</x:v>
      </x:c>
      <x:c r="N112" t="str">
        <x:f>IF(ABS(E112+H112+J112-K112-L112)&lt;0.001,"OK","REVER")</x:f>
        <x:v>OK</x:v>
      </x:c>
    </x:row>
    <x:row r="113" ht="22" customHeight="1">
      <x:c r="A113" t="n">
        <x:v>3342</x:v>
      </x:c>
      <x:c r="B113" t="str">
        <x:v>Core</x:v>
      </x:c>
      <x:c r="C113" s="10" t="n">
        <x:v>45459</x:v>
      </x:c>
      <x:c r="D113" t="str">
        <x:v>Sim</x:v>
      </x:c>
      <x:c r="E113" s="14" t="n">
        <x:v>5</x:v>
      </x:c>
      <x:c r="F113" t="str">
        <x:v>Anual</x:v>
      </x:c>
      <x:c r="G113" t="str">
        <x:v>Não</x:v>
      </x:c>
      <x:c r="H113" s="14" t="n">
        <x:v>0</x:v>
      </x:c>
      <x:c r="I113" t="str">
        <x:v>Não</x:v>
      </x:c>
      <x:c r="J113" s="14" t="n">
        <x:v>0</x:v>
      </x:c>
      <x:c r="K113" s="14" t="n">
        <x:v>0</x:v>
      </x:c>
      <x:c r="L113" s="14" t="n">
        <x:v>5</x:v>
      </x:c>
      <x:c r="M113" s="12" t="n">
        <x:f>DATE(YEAR(C113),MONTH(C113),1)</x:f>
        <x:v>45444</x:v>
      </x:c>
      <x:c r="N113" t="str">
        <x:f>IF(ABS(E113+H113+J113-K113-L113)&lt;0.001,"OK","REVER")</x:f>
        <x:v>OK</x:v>
      </x:c>
    </x:row>
    <x:row r="114" ht="22" customHeight="1">
      <x:c r="A114" t="n">
        <x:v>3343</x:v>
      </x:c>
      <x:c r="B114" t="str">
        <x:v>Ultimate</x:v>
      </x:c>
      <x:c r="C114" s="10" t="n">
        <x:v>45460</x:v>
      </x:c>
      <x:c r="D114" t="str">
        <x:v>Não</x:v>
      </x:c>
      <x:c r="E114" s="14" t="n">
        <x:v>15</x:v>
      </x:c>
      <x:c r="F114" t="str">
        <x:v>Trimestral</x:v>
      </x:c>
      <x:c r="G114" t="str">
        <x:v>Sim</x:v>
      </x:c>
      <x:c r="H114" s="14" t="n">
        <x:v>30</x:v>
      </x:c>
      <x:c r="I114" t="str">
        <x:v>Sim</x:v>
      </x:c>
      <x:c r="J114" s="14" t="n">
        <x:v>20</x:v>
      </x:c>
      <x:c r="K114" s="14" t="n">
        <x:v>20</x:v>
      </x:c>
      <x:c r="L114" s="14" t="n">
        <x:v>45</x:v>
      </x:c>
      <x:c r="M114" s="12" t="n">
        <x:f>DATE(YEAR(C114),MONTH(C114),1)</x:f>
        <x:v>45444</x:v>
      </x:c>
      <x:c r="N114" t="str">
        <x:f>IF(ABS(E114+H114+J114-K114-L114)&lt;0.001,"OK","REVER")</x:f>
        <x:v>OK</x:v>
      </x:c>
    </x:row>
    <x:row r="115" ht="22" customHeight="1">
      <x:c r="A115" t="n">
        <x:v>3344</x:v>
      </x:c>
      <x:c r="B115" t="str">
        <x:v>Standard</x:v>
      </x:c>
      <x:c r="C115" s="10" t="n">
        <x:v>45461</x:v>
      </x:c>
      <x:c r="D115" t="str">
        <x:v>Sim</x:v>
      </x:c>
      <x:c r="E115" s="14" t="n">
        <x:v>10</x:v>
      </x:c>
      <x:c r="F115" t="str">
        <x:v>Trimestral</x:v>
      </x:c>
      <x:c r="G115" t="str">
        <x:v>Não</x:v>
      </x:c>
      <x:c r="H115" s="14" t="n">
        <x:v>0</x:v>
      </x:c>
      <x:c r="I115" t="str">
        <x:v>Sim</x:v>
      </x:c>
      <x:c r="J115" s="14" t="n">
        <x:v>20</x:v>
      </x:c>
      <x:c r="K115" s="14" t="n">
        <x:v>12</x:v>
      </x:c>
      <x:c r="L115" s="14" t="n">
        <x:v>18</x:v>
      </x:c>
      <x:c r="M115" s="12" t="n">
        <x:f>DATE(YEAR(C115),MONTH(C115),1)</x:f>
        <x:v>45444</x:v>
      </x:c>
      <x:c r="N115" t="str">
        <x:f>IF(ABS(E115+H115+J115-K115-L115)&lt;0.001,"OK","REVER")</x:f>
        <x:v>OK</x:v>
      </x:c>
    </x:row>
    <x:row r="116" ht="22" customHeight="1">
      <x:c r="A116" t="n">
        <x:v>3345</x:v>
      </x:c>
      <x:c r="B116" t="str">
        <x:v>Core</x:v>
      </x:c>
      <x:c r="C116" s="10" t="n">
        <x:v>45462</x:v>
      </x:c>
      <x:c r="D116" t="str">
        <x:v>Não</x:v>
      </x:c>
      <x:c r="E116" s="14" t="n">
        <x:v>5</x:v>
      </x:c>
      <x:c r="F116" t="str">
        <x:v>Mensal</x:v>
      </x:c>
      <x:c r="G116" t="str">
        <x:v>Não</x:v>
      </x:c>
      <x:c r="H116" s="14" t="n">
        <x:v>0</x:v>
      </x:c>
      <x:c r="I116" t="str">
        <x:v>Não</x:v>
      </x:c>
      <x:c r="J116" s="14" t="n">
        <x:v>0</x:v>
      </x:c>
      <x:c r="K116" s="14" t="n">
        <x:v>2</x:v>
      </x:c>
      <x:c r="L116" s="14" t="n">
        <x:v>3</x:v>
      </x:c>
      <x:c r="M116" s="12" t="n">
        <x:f>DATE(YEAR(C116),MONTH(C116),1)</x:f>
        <x:v>45444</x:v>
      </x:c>
      <x:c r="N116" t="str">
        <x:f>IF(ABS(E116+H116+J116-K116-L116)&lt;0.001,"OK","REVER")</x:f>
        <x:v>OK</x:v>
      </x:c>
    </x:row>
    <x:row r="117" ht="22" customHeight="1">
      <x:c r="A117" t="n">
        <x:v>3346</x:v>
      </x:c>
      <x:c r="B117" t="str">
        <x:v>Ultimate</x:v>
      </x:c>
      <x:c r="C117" s="10" t="n">
        <x:v>45463</x:v>
      </x:c>
      <x:c r="D117" t="str">
        <x:v>Sim</x:v>
      </x:c>
      <x:c r="E117" s="14" t="n">
        <x:v>15</x:v>
      </x:c>
      <x:c r="F117" t="str">
        <x:v>Anual</x:v>
      </x:c>
      <x:c r="G117" t="str">
        <x:v>Sim</x:v>
      </x:c>
      <x:c r="H117" s="14" t="n">
        <x:v>30</x:v>
      </x:c>
      <x:c r="I117" t="str">
        <x:v>Sim</x:v>
      </x:c>
      <x:c r="J117" s="14" t="n">
        <x:v>20</x:v>
      </x:c>
      <x:c r="K117" s="14" t="n">
        <x:v>5</x:v>
      </x:c>
      <x:c r="L117" s="14" t="n">
        <x:v>60</x:v>
      </x:c>
      <x:c r="M117" s="12" t="n">
        <x:f>DATE(YEAR(C117),MONTH(C117),1)</x:f>
        <x:v>45444</x:v>
      </x:c>
      <x:c r="N117" t="str">
        <x:f>IF(ABS(E117+H117+J117-K117-L117)&lt;0.001,"OK","REVER")</x:f>
        <x:v>OK</x:v>
      </x:c>
    </x:row>
    <x:row r="118" ht="22" customHeight="1">
      <x:c r="A118" t="n">
        <x:v>3347</x:v>
      </x:c>
      <x:c r="B118" t="str">
        <x:v>Standard</x:v>
      </x:c>
      <x:c r="C118" s="10" t="n">
        <x:v>45464</x:v>
      </x:c>
      <x:c r="D118" t="str">
        <x:v>Não</x:v>
      </x:c>
      <x:c r="E118" s="14" t="n">
        <x:v>10</x:v>
      </x:c>
      <x:c r="F118" t="str">
        <x:v>Mensal</x:v>
      </x:c>
      <x:c r="G118" t="str">
        <x:v>Não</x:v>
      </x:c>
      <x:c r="H118" s="14" t="n">
        <x:v>0</x:v>
      </x:c>
      <x:c r="I118" t="str">
        <x:v>Sim</x:v>
      </x:c>
      <x:c r="J118" s="14" t="n">
        <x:v>20</x:v>
      </x:c>
      <x:c r="K118" s="14" t="n">
        <x:v>10</x:v>
      </x:c>
      <x:c r="L118" s="14" t="n">
        <x:v>20</x:v>
      </x:c>
      <x:c r="M118" s="12" t="n">
        <x:f>DATE(YEAR(C118),MONTH(C118),1)</x:f>
        <x:v>45444</x:v>
      </x:c>
      <x:c r="N118" t="str">
        <x:f>IF(ABS(E118+H118+J118-K118-L118)&lt;0.001,"OK","REVER")</x:f>
        <x:v>OK</x:v>
      </x:c>
    </x:row>
    <x:row r="119" ht="22" customHeight="1">
      <x:c r="A119" t="n">
        <x:v>3348</x:v>
      </x:c>
      <x:c r="B119" t="str">
        <x:v>Core</x:v>
      </x:c>
      <x:c r="C119" s="10" t="n">
        <x:v>45465</x:v>
      </x:c>
      <x:c r="D119" t="str">
        <x:v>Sim</x:v>
      </x:c>
      <x:c r="E119" s="14" t="n">
        <x:v>5</x:v>
      </x:c>
      <x:c r="F119" t="str">
        <x:v>Trimestral</x:v>
      </x:c>
      <x:c r="G119" t="str">
        <x:v>Não</x:v>
      </x:c>
      <x:c r="H119" s="14" t="n">
        <x:v>0</x:v>
      </x:c>
      <x:c r="I119" t="str">
        <x:v>Não</x:v>
      </x:c>
      <x:c r="J119" s="14" t="n">
        <x:v>0</x:v>
      </x:c>
      <x:c r="K119" s="14" t="n">
        <x:v>0</x:v>
      </x:c>
      <x:c r="L119" s="14" t="n">
        <x:v>5</x:v>
      </x:c>
      <x:c r="M119" s="12" t="n">
        <x:f>DATE(YEAR(C119),MONTH(C119),1)</x:f>
        <x:v>45444</x:v>
      </x:c>
      <x:c r="N119" t="str">
        <x:f>IF(ABS(E119+H119+J119-K119-L119)&lt;0.001,"OK","REVER")</x:f>
        <x:v>OK</x:v>
      </x:c>
    </x:row>
    <x:row r="120" ht="22" customHeight="1">
      <x:c r="A120" t="n">
        <x:v>3349</x:v>
      </x:c>
      <x:c r="B120" t="str">
        <x:v>Ultimate</x:v>
      </x:c>
      <x:c r="C120" s="10" t="n">
        <x:v>45466</x:v>
      </x:c>
      <x:c r="D120" t="str">
        <x:v>Não</x:v>
      </x:c>
      <x:c r="E120" s="14" t="n">
        <x:v>15</x:v>
      </x:c>
      <x:c r="F120" t="str">
        <x:v>Mensal</x:v>
      </x:c>
      <x:c r="G120" t="str">
        <x:v>Sim</x:v>
      </x:c>
      <x:c r="H120" s="14" t="n">
        <x:v>30</x:v>
      </x:c>
      <x:c r="I120" t="str">
        <x:v>Sim</x:v>
      </x:c>
      <x:c r="J120" s="14" t="n">
        <x:v>20</x:v>
      </x:c>
      <x:c r="K120" s="14" t="n">
        <x:v>3</x:v>
      </x:c>
      <x:c r="L120" s="14" t="n">
        <x:v>62</x:v>
      </x:c>
      <x:c r="M120" s="12" t="n">
        <x:f>DATE(YEAR(C120),MONTH(C120),1)</x:f>
        <x:v>45444</x:v>
      </x:c>
      <x:c r="N120" t="str">
        <x:f>IF(ABS(E120+H120+J120-K120-L120)&lt;0.001,"OK","REVER")</x:f>
        <x:v>OK</x:v>
      </x:c>
    </x:row>
    <x:row r="121" ht="22" customHeight="1">
      <x:c r="A121" t="n">
        <x:v>3350</x:v>
      </x:c>
      <x:c r="B121" t="str">
        <x:v>Standard</x:v>
      </x:c>
      <x:c r="C121" s="10" t="n">
        <x:v>45467</x:v>
      </x:c>
      <x:c r="D121" t="str">
        <x:v>Sim</x:v>
      </x:c>
      <x:c r="E121" s="14" t="n">
        <x:v>10</x:v>
      </x:c>
      <x:c r="F121" t="str">
        <x:v>Anual</x:v>
      </x:c>
      <x:c r="G121" t="str">
        <x:v>Não</x:v>
      </x:c>
      <x:c r="H121" s="14" t="n">
        <x:v>0</x:v>
      </x:c>
      <x:c r="I121" t="str">
        <x:v>Sim</x:v>
      </x:c>
      <x:c r="J121" s="14" t="n">
        <x:v>20</x:v>
      </x:c>
      <x:c r="K121" s="14" t="n">
        <x:v>15</x:v>
      </x:c>
      <x:c r="L121" s="14" t="n">
        <x:v>15</x:v>
      </x:c>
      <x:c r="M121" s="12" t="n">
        <x:f>DATE(YEAR(C121),MONTH(C121),1)</x:f>
        <x:v>45444</x:v>
      </x:c>
      <x:c r="N121" t="str">
        <x:f>IF(ABS(E121+H121+J121-K121-L121)&lt;0.001,"OK","REVER")</x:f>
        <x:v>OK</x:v>
      </x:c>
    </x:row>
    <x:row r="122" ht="22" customHeight="1">
      <x:c r="A122" t="n">
        <x:v>3351</x:v>
      </x:c>
      <x:c r="B122" t="str">
        <x:v>Core</x:v>
      </x:c>
      <x:c r="C122" s="10" t="n">
        <x:v>45468</x:v>
      </x:c>
      <x:c r="D122" t="str">
        <x:v>Não</x:v>
      </x:c>
      <x:c r="E122" s="14" t="n">
        <x:v>5</x:v>
      </x:c>
      <x:c r="F122" t="str">
        <x:v>Mensal</x:v>
      </x:c>
      <x:c r="G122" t="str">
        <x:v>Não</x:v>
      </x:c>
      <x:c r="H122" s="14" t="n">
        <x:v>0</x:v>
      </x:c>
      <x:c r="I122" t="str">
        <x:v>Não</x:v>
      </x:c>
      <x:c r="J122" s="14" t="n">
        <x:v>0</x:v>
      </x:c>
      <x:c r="K122" s="14" t="n">
        <x:v>1</x:v>
      </x:c>
      <x:c r="L122" s="14" t="n">
        <x:v>4</x:v>
      </x:c>
      <x:c r="M122" s="12" t="n">
        <x:f>DATE(YEAR(C122),MONTH(C122),1)</x:f>
        <x:v>45444</x:v>
      </x:c>
      <x:c r="N122" t="str">
        <x:f>IF(ABS(E122+H122+J122-K122-L122)&lt;0.001,"OK","REVER")</x:f>
        <x:v>OK</x:v>
      </x:c>
    </x:row>
    <x:row r="123" ht="22" customHeight="1">
      <x:c r="A123" t="n">
        <x:v>3352</x:v>
      </x:c>
      <x:c r="B123" t="str">
        <x:v>Ultimate</x:v>
      </x:c>
      <x:c r="C123" s="10" t="n">
        <x:v>45469</x:v>
      </x:c>
      <x:c r="D123" t="str">
        <x:v>Sim</x:v>
      </x:c>
      <x:c r="E123" s="14" t="n">
        <x:v>15</x:v>
      </x:c>
      <x:c r="F123" t="str">
        <x:v>Trimestral</x:v>
      </x:c>
      <x:c r="G123" t="str">
        <x:v>Sim</x:v>
      </x:c>
      <x:c r="H123" s="14" t="n">
        <x:v>30</x:v>
      </x:c>
      <x:c r="I123" t="str">
        <x:v>Sim</x:v>
      </x:c>
      <x:c r="J123" s="14" t="n">
        <x:v>20</x:v>
      </x:c>
      <x:c r="K123" s="14" t="n">
        <x:v>7</x:v>
      </x:c>
      <x:c r="L123" s="14" t="n">
        <x:v>58</x:v>
      </x:c>
      <x:c r="M123" s="12" t="n">
        <x:f>DATE(YEAR(C123),MONTH(C123),1)</x:f>
        <x:v>45444</x:v>
      </x:c>
      <x:c r="N123" t="str">
        <x:f>IF(ABS(E123+H123+J123-K123-L123)&lt;0.001,"OK","REVER")</x:f>
        <x:v>OK</x:v>
      </x:c>
    </x:row>
    <x:row r="124" ht="22" customHeight="1">
      <x:c r="A124" t="n">
        <x:v>3353</x:v>
      </x:c>
      <x:c r="B124" t="str">
        <x:v>Standard</x:v>
      </x:c>
      <x:c r="C124" s="10" t="n">
        <x:v>45470</x:v>
      </x:c>
      <x:c r="D124" t="str">
        <x:v>Não</x:v>
      </x:c>
      <x:c r="E124" s="14" t="n">
        <x:v>10</x:v>
      </x:c>
      <x:c r="F124" t="str">
        <x:v>Mensal</x:v>
      </x:c>
      <x:c r="G124" t="str">
        <x:v>Não</x:v>
      </x:c>
      <x:c r="H124" s="14" t="n">
        <x:v>0</x:v>
      </x:c>
      <x:c r="I124" t="str">
        <x:v>Sim</x:v>
      </x:c>
      <x:c r="J124" s="14" t="n">
        <x:v>20</x:v>
      </x:c>
      <x:c r="K124" s="14" t="n">
        <x:v>10</x:v>
      </x:c>
      <x:c r="L124" s="14" t="n">
        <x:v>20</x:v>
      </x:c>
      <x:c r="M124" s="12" t="n">
        <x:f>DATE(YEAR(C124),MONTH(C124),1)</x:f>
        <x:v>45444</x:v>
      </x:c>
      <x:c r="N124" t="str">
        <x:f>IF(ABS(E124+H124+J124-K124-L124)&lt;0.001,"OK","REVER")</x:f>
        <x:v>OK</x:v>
      </x:c>
    </x:row>
    <x:row r="125" ht="22" customHeight="1">
      <x:c r="A125" t="n">
        <x:v>3354</x:v>
      </x:c>
      <x:c r="B125" t="str">
        <x:v>Core</x:v>
      </x:c>
      <x:c r="C125" s="10" t="n">
        <x:v>45471</x:v>
      </x:c>
      <x:c r="D125" t="str">
        <x:v>Sim</x:v>
      </x:c>
      <x:c r="E125" s="14" t="n">
        <x:v>5</x:v>
      </x:c>
      <x:c r="F125" t="str">
        <x:v>Anual</x:v>
      </x:c>
      <x:c r="G125" t="str">
        <x:v>Não</x:v>
      </x:c>
      <x:c r="H125" s="14" t="n">
        <x:v>0</x:v>
      </x:c>
      <x:c r="I125" t="str">
        <x:v>Não</x:v>
      </x:c>
      <x:c r="J125" s="14" t="n">
        <x:v>0</x:v>
      </x:c>
      <x:c r="K125" s="14" t="n">
        <x:v>0</x:v>
      </x:c>
      <x:c r="L125" s="14" t="n">
        <x:v>5</x:v>
      </x:c>
      <x:c r="M125" s="12" t="n">
        <x:f>DATE(YEAR(C125),MONTH(C125),1)</x:f>
        <x:v>45444</x:v>
      </x:c>
      <x:c r="N125" t="str">
        <x:f>IF(ABS(E125+H125+J125-K125-L125)&lt;0.001,"OK","REVER")</x:f>
        <x:v>OK</x:v>
      </x:c>
    </x:row>
    <x:row r="126" ht="22" customHeight="1">
      <x:c r="A126" t="n">
        <x:v>3355</x:v>
      </x:c>
      <x:c r="B126" t="str">
        <x:v>Ultimate</x:v>
      </x:c>
      <x:c r="C126" s="10" t="n">
        <x:v>45472</x:v>
      </x:c>
      <x:c r="D126" t="str">
        <x:v>Não</x:v>
      </x:c>
      <x:c r="E126" s="14" t="n">
        <x:v>15</x:v>
      </x:c>
      <x:c r="F126" t="str">
        <x:v>Mensal</x:v>
      </x:c>
      <x:c r="G126" t="str">
        <x:v>Sim</x:v>
      </x:c>
      <x:c r="H126" s="14" t="n">
        <x:v>30</x:v>
      </x:c>
      <x:c r="I126" t="str">
        <x:v>Sim</x:v>
      </x:c>
      <x:c r="J126" s="14" t="n">
        <x:v>20</x:v>
      </x:c>
      <x:c r="K126" s="14" t="n">
        <x:v>20</x:v>
      </x:c>
      <x:c r="L126" s="14" t="n">
        <x:v>45</x:v>
      </x:c>
      <x:c r="M126" s="12" t="n">
        <x:f>DATE(YEAR(C126),MONTH(C126),1)</x:f>
        <x:v>45444</x:v>
      </x:c>
      <x:c r="N126" t="str">
        <x:f>IF(ABS(E126+H126+J126-K126-L126)&lt;0.001,"OK","REVER")</x:f>
        <x:v>OK</x:v>
      </x:c>
    </x:row>
    <x:row r="127" ht="22" customHeight="1">
      <x:c r="A127" t="n">
        <x:v>3356</x:v>
      </x:c>
      <x:c r="B127" t="str">
        <x:v>Standard</x:v>
      </x:c>
      <x:c r="C127" s="10" t="n">
        <x:v>45473</x:v>
      </x:c>
      <x:c r="D127" t="str">
        <x:v>Sim</x:v>
      </x:c>
      <x:c r="E127" s="14" t="n">
        <x:v>10</x:v>
      </x:c>
      <x:c r="F127" t="str">
        <x:v>Trimestral</x:v>
      </x:c>
      <x:c r="G127" t="str">
        <x:v>Não</x:v>
      </x:c>
      <x:c r="H127" s="14" t="n">
        <x:v>0</x:v>
      </x:c>
      <x:c r="I127" t="str">
        <x:v>Sim</x:v>
      </x:c>
      <x:c r="J127" s="14" t="n">
        <x:v>20</x:v>
      </x:c>
      <x:c r="K127" s="14" t="n">
        <x:v>15</x:v>
      </x:c>
      <x:c r="L127" s="14" t="n">
        <x:v>15</x:v>
      </x:c>
      <x:c r="M127" s="12" t="n">
        <x:f>DATE(YEAR(C127),MONTH(C127),1)</x:f>
        <x:v>45444</x:v>
      </x:c>
      <x:c r="N127" t="str">
        <x:f>IF(ABS(E127+H127+J127-K127-L127)&lt;0.001,"OK","REVER")</x:f>
        <x:v>OK</x:v>
      </x:c>
    </x:row>
    <x:row r="128" ht="22" customHeight="1">
      <x:c r="A128" t="n">
        <x:v>3357</x:v>
      </x:c>
      <x:c r="B128" t="str">
        <x:v>Core</x:v>
      </x:c>
      <x:c r="C128" s="10" t="n">
        <x:v>45474</x:v>
      </x:c>
      <x:c r="D128" t="str">
        <x:v>Não</x:v>
      </x:c>
      <x:c r="E128" s="14" t="n">
        <x:v>5</x:v>
      </x:c>
      <x:c r="F128" t="str">
        <x:v>Mensal</x:v>
      </x:c>
      <x:c r="G128" t="str">
        <x:v>Não</x:v>
      </x:c>
      <x:c r="H128" s="14" t="n">
        <x:v>0</x:v>
      </x:c>
      <x:c r="I128" t="str">
        <x:v>Não</x:v>
      </x:c>
      <x:c r="J128" s="14" t="n">
        <x:v>0</x:v>
      </x:c>
      <x:c r="K128" s="14" t="n">
        <x:v>1</x:v>
      </x:c>
      <x:c r="L128" s="14" t="n">
        <x:v>4</x:v>
      </x:c>
      <x:c r="M128" s="12" t="n">
        <x:f>DATE(YEAR(C128),MONTH(C128),1)</x:f>
        <x:v>45474</x:v>
      </x:c>
      <x:c r="N128" t="str">
        <x:f>IF(ABS(E128+H128+J128-K128-L128)&lt;0.001,"OK","REVER")</x:f>
        <x:v>OK</x:v>
      </x:c>
    </x:row>
    <x:row r="129" ht="22" customHeight="1">
      <x:c r="A129" t="n">
        <x:v>3358</x:v>
      </x:c>
      <x:c r="B129" t="str">
        <x:v>Ultimate</x:v>
      </x:c>
      <x:c r="C129" s="10" t="n">
        <x:v>45475</x:v>
      </x:c>
      <x:c r="D129" t="str">
        <x:v>Sim</x:v>
      </x:c>
      <x:c r="E129" s="14" t="n">
        <x:v>15</x:v>
      </x:c>
      <x:c r="F129" t="str">
        <x:v>Anual</x:v>
      </x:c>
      <x:c r="G129" t="str">
        <x:v>Sim</x:v>
      </x:c>
      <x:c r="H129" s="14" t="n">
        <x:v>30</x:v>
      </x:c>
      <x:c r="I129" t="str">
        <x:v>Sim</x:v>
      </x:c>
      <x:c r="J129" s="14" t="n">
        <x:v>20</x:v>
      </x:c>
      <x:c r="K129" s="14" t="n">
        <x:v>3</x:v>
      </x:c>
      <x:c r="L129" s="14" t="n">
        <x:v>62</x:v>
      </x:c>
      <x:c r="M129" s="12" t="n">
        <x:f>DATE(YEAR(C129),MONTH(C129),1)</x:f>
        <x:v>45474</x:v>
      </x:c>
      <x:c r="N129" t="str">
        <x:f>IF(ABS(E129+H129+J129-K129-L129)&lt;0.001,"OK","REVER")</x:f>
        <x:v>OK</x:v>
      </x:c>
    </x:row>
    <x:row r="130" ht="22" customHeight="1">
      <x:c r="A130" t="n">
        <x:v>3359</x:v>
      </x:c>
      <x:c r="B130" t="str">
        <x:v>Standard</x:v>
      </x:c>
      <x:c r="C130" s="10" t="n">
        <x:v>45476</x:v>
      </x:c>
      <x:c r="D130" t="str">
        <x:v>Não</x:v>
      </x:c>
      <x:c r="E130" s="14" t="n">
        <x:v>10</x:v>
      </x:c>
      <x:c r="F130" t="str">
        <x:v>Mensal</x:v>
      </x:c>
      <x:c r="G130" t="str">
        <x:v>Não</x:v>
      </x:c>
      <x:c r="H130" s="14" t="n">
        <x:v>0</x:v>
      </x:c>
      <x:c r="I130" t="str">
        <x:v>Sim</x:v>
      </x:c>
      <x:c r="J130" s="14" t="n">
        <x:v>20</x:v>
      </x:c>
      <x:c r="K130" s="14" t="n">
        <x:v>10</x:v>
      </x:c>
      <x:c r="L130" s="14" t="n">
        <x:v>20</x:v>
      </x:c>
      <x:c r="M130" s="12" t="n">
        <x:f>DATE(YEAR(C130),MONTH(C130),1)</x:f>
        <x:v>45474</x:v>
      </x:c>
      <x:c r="N130" t="str">
        <x:f>IF(ABS(E130+H130+J130-K130-L130)&lt;0.001,"OK","REVER")</x:f>
        <x:v>OK</x:v>
      </x:c>
    </x:row>
    <x:row r="131" ht="22" customHeight="1">
      <x:c r="A131" t="n">
        <x:v>3360</x:v>
      </x:c>
      <x:c r="B131" t="str">
        <x:v>Core</x:v>
      </x:c>
      <x:c r="C131" s="10" t="n">
        <x:v>45477</x:v>
      </x:c>
      <x:c r="D131" t="str">
        <x:v>Sim</x:v>
      </x:c>
      <x:c r="E131" s="14" t="n">
        <x:v>5</x:v>
      </x:c>
      <x:c r="F131" t="str">
        <x:v>Trimestral</x:v>
      </x:c>
      <x:c r="G131" t="str">
        <x:v>Não</x:v>
      </x:c>
      <x:c r="H131" s="14" t="n">
        <x:v>0</x:v>
      </x:c>
      <x:c r="I131" t="str">
        <x:v>Não</x:v>
      </x:c>
      <x:c r="J131" s="14" t="n">
        <x:v>0</x:v>
      </x:c>
      <x:c r="K131" s="14" t="n">
        <x:v>0</x:v>
      </x:c>
      <x:c r="L131" s="14" t="n">
        <x:v>5</x:v>
      </x:c>
      <x:c r="M131" s="12" t="n">
        <x:f>DATE(YEAR(C131),MONTH(C131),1)</x:f>
        <x:v>45474</x:v>
      </x:c>
      <x:c r="N131" t="str">
        <x:f>IF(ABS(E131+H131+J131-K131-L131)&lt;0.001,"OK","REVER")</x:f>
        <x:v>OK</x:v>
      </x:c>
    </x:row>
    <x:row r="132" ht="22" customHeight="1">
      <x:c r="A132" t="n">
        <x:v>3361</x:v>
      </x:c>
      <x:c r="B132" t="str">
        <x:v>Ultimate</x:v>
      </x:c>
      <x:c r="C132" s="10" t="n">
        <x:v>45478</x:v>
      </x:c>
      <x:c r="D132" t="str">
        <x:v>Não</x:v>
      </x:c>
      <x:c r="E132" s="14" t="n">
        <x:v>15</x:v>
      </x:c>
      <x:c r="F132" t="str">
        <x:v>Mensal</x:v>
      </x:c>
      <x:c r="G132" t="str">
        <x:v>Sim</x:v>
      </x:c>
      <x:c r="H132" s="14" t="n">
        <x:v>30</x:v>
      </x:c>
      <x:c r="I132" t="str">
        <x:v>Sim</x:v>
      </x:c>
      <x:c r="J132" s="14" t="n">
        <x:v>20</x:v>
      </x:c>
      <x:c r="K132" s="14" t="n">
        <x:v>15</x:v>
      </x:c>
      <x:c r="L132" s="14" t="n">
        <x:v>50</x:v>
      </x:c>
      <x:c r="M132" s="12" t="n">
        <x:f>DATE(YEAR(C132),MONTH(C132),1)</x:f>
        <x:v>45474</x:v>
      </x:c>
      <x:c r="N132" t="str">
        <x:f>IF(ABS(E132+H132+J132-K132-L132)&lt;0.001,"OK","REVER")</x:f>
        <x:v>OK</x:v>
      </x:c>
    </x:row>
    <x:row r="133" ht="22" customHeight="1">
      <x:c r="A133" t="n">
        <x:v>3362</x:v>
      </x:c>
      <x:c r="B133" t="str">
        <x:v>Standard</x:v>
      </x:c>
      <x:c r="C133" s="10" t="n">
        <x:v>45479</x:v>
      </x:c>
      <x:c r="D133" t="str">
        <x:v>Sim</x:v>
      </x:c>
      <x:c r="E133" s="14" t="n">
        <x:v>10</x:v>
      </x:c>
      <x:c r="F133" t="str">
        <x:v>Anual</x:v>
      </x:c>
      <x:c r="G133" t="str">
        <x:v>Não</x:v>
      </x:c>
      <x:c r="H133" s="14" t="n">
        <x:v>0</x:v>
      </x:c>
      <x:c r="I133" t="str">
        <x:v>Sim</x:v>
      </x:c>
      <x:c r="J133" s="14" t="n">
        <x:v>20</x:v>
      </x:c>
      <x:c r="K133" s="14" t="n">
        <x:v>15</x:v>
      </x:c>
      <x:c r="L133" s="14" t="n">
        <x:v>15</x:v>
      </x:c>
      <x:c r="M133" s="12" t="n">
        <x:f>DATE(YEAR(C133),MONTH(C133),1)</x:f>
        <x:v>45474</x:v>
      </x:c>
      <x:c r="N133" t="str">
        <x:f>IF(ABS(E133+H133+J133-K133-L133)&lt;0.001,"OK","REVER")</x:f>
        <x:v>OK</x:v>
      </x:c>
    </x:row>
    <x:row r="134" ht="22" customHeight="1">
      <x:c r="A134" t="n">
        <x:v>3363</x:v>
      </x:c>
      <x:c r="B134" t="str">
        <x:v>Core</x:v>
      </x:c>
      <x:c r="C134" s="10" t="n">
        <x:v>45480</x:v>
      </x:c>
      <x:c r="D134" t="str">
        <x:v>Não</x:v>
      </x:c>
      <x:c r="E134" s="14" t="n">
        <x:v>5</x:v>
      </x:c>
      <x:c r="F134" t="str">
        <x:v>Mensal</x:v>
      </x:c>
      <x:c r="G134" t="str">
        <x:v>Não</x:v>
      </x:c>
      <x:c r="H134" s="14" t="n">
        <x:v>0</x:v>
      </x:c>
      <x:c r="I134" t="str">
        <x:v>Não</x:v>
      </x:c>
      <x:c r="J134" s="14" t="n">
        <x:v>0</x:v>
      </x:c>
      <x:c r="K134" s="14" t="n">
        <x:v>1</x:v>
      </x:c>
      <x:c r="L134" s="14" t="n">
        <x:v>4</x:v>
      </x:c>
      <x:c r="M134" s="12" t="n">
        <x:f>DATE(YEAR(C134),MONTH(C134),1)</x:f>
        <x:v>45474</x:v>
      </x:c>
      <x:c r="N134" t="str">
        <x:f>IF(ABS(E134+H134+J134-K134-L134)&lt;0.001,"OK","REVER")</x:f>
        <x:v>OK</x:v>
      </x:c>
    </x:row>
    <x:row r="135" ht="22" customHeight="1">
      <x:c r="A135" t="n">
        <x:v>3364</x:v>
      </x:c>
      <x:c r="B135" t="str">
        <x:v>Ultimate</x:v>
      </x:c>
      <x:c r="C135" s="10" t="n">
        <x:v>45481</x:v>
      </x:c>
      <x:c r="D135" t="str">
        <x:v>Sim</x:v>
      </x:c>
      <x:c r="E135" s="14" t="n">
        <x:v>15</x:v>
      </x:c>
      <x:c r="F135" t="str">
        <x:v>Trimestral</x:v>
      </x:c>
      <x:c r="G135" t="str">
        <x:v>Sim</x:v>
      </x:c>
      <x:c r="H135" s="14" t="n">
        <x:v>30</x:v>
      </x:c>
      <x:c r="I135" t="str">
        <x:v>Sim</x:v>
      </x:c>
      <x:c r="J135" s="14" t="n">
        <x:v>20</x:v>
      </x:c>
      <x:c r="K135" s="14" t="n">
        <x:v>7</x:v>
      </x:c>
      <x:c r="L135" s="14" t="n">
        <x:v>58</x:v>
      </x:c>
      <x:c r="M135" s="12" t="n">
        <x:f>DATE(YEAR(C135),MONTH(C135),1)</x:f>
        <x:v>45474</x:v>
      </x:c>
      <x:c r="N135" t="str">
        <x:f>IF(ABS(E135+H135+J135-K135-L135)&lt;0.001,"OK","REVER")</x:f>
        <x:v>OK</x:v>
      </x:c>
    </x:row>
    <x:row r="136" ht="22" customHeight="1">
      <x:c r="A136" t="n">
        <x:v>3365</x:v>
      </x:c>
      <x:c r="B136" t="str">
        <x:v>Standard</x:v>
      </x:c>
      <x:c r="C136" s="10" t="n">
        <x:v>45482</x:v>
      </x:c>
      <x:c r="D136" t="str">
        <x:v>Não</x:v>
      </x:c>
      <x:c r="E136" s="14" t="n">
        <x:v>10</x:v>
      </x:c>
      <x:c r="F136" t="str">
        <x:v>Mensal</x:v>
      </x:c>
      <x:c r="G136" t="str">
        <x:v>Não</x:v>
      </x:c>
      <x:c r="H136" s="14" t="n">
        <x:v>0</x:v>
      </x:c>
      <x:c r="I136" t="str">
        <x:v>Sim</x:v>
      </x:c>
      <x:c r="J136" s="14" t="n">
        <x:v>20</x:v>
      </x:c>
      <x:c r="K136" s="14" t="n">
        <x:v>10</x:v>
      </x:c>
      <x:c r="L136" s="14" t="n">
        <x:v>20</x:v>
      </x:c>
      <x:c r="M136" s="12" t="n">
        <x:f>DATE(YEAR(C136),MONTH(C136),1)</x:f>
        <x:v>45474</x:v>
      </x:c>
      <x:c r="N136" t="str">
        <x:f>IF(ABS(E136+H136+J136-K136-L136)&lt;0.001,"OK","REVER")</x:f>
        <x:v>OK</x:v>
      </x:c>
    </x:row>
    <x:row r="137" ht="22" customHeight="1">
      <x:c r="A137" t="n">
        <x:v>3366</x:v>
      </x:c>
      <x:c r="B137" t="str">
        <x:v>Core</x:v>
      </x:c>
      <x:c r="C137" s="10" t="n">
        <x:v>45483</x:v>
      </x:c>
      <x:c r="D137" t="str">
        <x:v>Sim</x:v>
      </x:c>
      <x:c r="E137" s="14" t="n">
        <x:v>5</x:v>
      </x:c>
      <x:c r="F137" t="str">
        <x:v>Mensal</x:v>
      </x:c>
      <x:c r="G137" t="str">
        <x:v>Não</x:v>
      </x:c>
      <x:c r="H137" s="14" t="n">
        <x:v>0</x:v>
      </x:c>
      <x:c r="I137" t="str">
        <x:v>Não</x:v>
      </x:c>
      <x:c r="J137" s="14" t="n">
        <x:v>0</x:v>
      </x:c>
      <x:c r="K137" s="14" t="n">
        <x:v>0</x:v>
      </x:c>
      <x:c r="L137" s="14" t="n">
        <x:v>5</x:v>
      </x:c>
      <x:c r="M137" s="12" t="n">
        <x:f>DATE(YEAR(C137),MONTH(C137),1)</x:f>
        <x:v>45474</x:v>
      </x:c>
      <x:c r="N137" t="str">
        <x:f>IF(ABS(E137+H137+J137-K137-L137)&lt;0.001,"OK","REVER")</x:f>
        <x:v>OK</x:v>
      </x:c>
    </x:row>
    <x:row r="138" ht="22" customHeight="1">
      <x:c r="A138" t="n">
        <x:v>3367</x:v>
      </x:c>
      <x:c r="B138" t="str">
        <x:v>Ultimate</x:v>
      </x:c>
      <x:c r="C138" s="10" t="n">
        <x:v>45484</x:v>
      </x:c>
      <x:c r="D138" t="str">
        <x:v>Não</x:v>
      </x:c>
      <x:c r="E138" s="14" t="n">
        <x:v>15</x:v>
      </x:c>
      <x:c r="F138" t="str">
        <x:v>Trimestral</x:v>
      </x:c>
      <x:c r="G138" t="str">
        <x:v>Sim</x:v>
      </x:c>
      <x:c r="H138" s="14" t="n">
        <x:v>30</x:v>
      </x:c>
      <x:c r="I138" t="str">
        <x:v>Sim</x:v>
      </x:c>
      <x:c r="J138" s="14" t="n">
        <x:v>20</x:v>
      </x:c>
      <x:c r="K138" s="14" t="n">
        <x:v>7</x:v>
      </x:c>
      <x:c r="L138" s="14" t="n">
        <x:v>58</x:v>
      </x:c>
      <x:c r="M138" s="12" t="n">
        <x:f>DATE(YEAR(C138),MONTH(C138),1)</x:f>
        <x:v>45474</x:v>
      </x:c>
      <x:c r="N138" t="str">
        <x:f>IF(ABS(E138+H138+J138-K138-L138)&lt;0.001,"OK","REVER")</x:f>
        <x:v>OK</x:v>
      </x:c>
    </x:row>
    <x:row r="139" ht="22" customHeight="1">
      <x:c r="A139" t="n">
        <x:v>3368</x:v>
      </x:c>
      <x:c r="B139" t="str">
        <x:v>Standard</x:v>
      </x:c>
      <x:c r="C139" s="10" t="n">
        <x:v>45485</x:v>
      </x:c>
      <x:c r="D139" t="str">
        <x:v>Sim</x:v>
      </x:c>
      <x:c r="E139" s="14" t="n">
        <x:v>10</x:v>
      </x:c>
      <x:c r="F139" t="str">
        <x:v>Anual</x:v>
      </x:c>
      <x:c r="G139" t="str">
        <x:v>Não</x:v>
      </x:c>
      <x:c r="H139" s="14" t="n">
        <x:v>0</x:v>
      </x:c>
      <x:c r="I139" t="str">
        <x:v>Sim</x:v>
      </x:c>
      <x:c r="J139" s="14" t="n">
        <x:v>20</x:v>
      </x:c>
      <x:c r="K139" s="14" t="n">
        <x:v>10</x:v>
      </x:c>
      <x:c r="L139" s="14" t="n">
        <x:v>20</x:v>
      </x:c>
      <x:c r="M139" s="12" t="n">
        <x:f>DATE(YEAR(C139),MONTH(C139),1)</x:f>
        <x:v>45474</x:v>
      </x:c>
      <x:c r="N139" t="str">
        <x:f>IF(ABS(E139+H139+J139-K139-L139)&lt;0.001,"OK","REVER")</x:f>
        <x:v>OK</x:v>
      </x:c>
    </x:row>
    <x:row r="140" ht="22" customHeight="1">
      <x:c r="A140" t="n">
        <x:v>3369</x:v>
      </x:c>
      <x:c r="B140" t="str">
        <x:v>Core</x:v>
      </x:c>
      <x:c r="C140" s="10" t="n">
        <x:v>45486</x:v>
      </x:c>
      <x:c r="D140" t="str">
        <x:v>Não</x:v>
      </x:c>
      <x:c r="E140" s="14" t="n">
        <x:v>5</x:v>
      </x:c>
      <x:c r="F140" t="str">
        <x:v>Trimestral</x:v>
      </x:c>
      <x:c r="G140" t="str">
        <x:v>Não</x:v>
      </x:c>
      <x:c r="H140" s="14" t="n">
        <x:v>0</x:v>
      </x:c>
      <x:c r="I140" t="str">
        <x:v>Não</x:v>
      </x:c>
      <x:c r="J140" s="14" t="n">
        <x:v>0</x:v>
      </x:c>
      <x:c r="K140" s="14" t="n">
        <x:v>1</x:v>
      </x:c>
      <x:c r="L140" s="14" t="n">
        <x:v>4</x:v>
      </x:c>
      <x:c r="M140" s="12" t="n">
        <x:f>DATE(YEAR(C140),MONTH(C140),1)</x:f>
        <x:v>45474</x:v>
      </x:c>
      <x:c r="N140" t="str">
        <x:f>IF(ABS(E140+H140+J140-K140-L140)&lt;0.001,"OK","REVER")</x:f>
        <x:v>OK</x:v>
      </x:c>
    </x:row>
    <x:row r="141" ht="22" customHeight="1">
      <x:c r="A141" t="n">
        <x:v>3370</x:v>
      </x:c>
      <x:c r="B141" t="str">
        <x:v>Ultimate</x:v>
      </x:c>
      <x:c r="C141" s="10" t="n">
        <x:v>45487</x:v>
      </x:c>
      <x:c r="D141" t="str">
        <x:v>Sim</x:v>
      </x:c>
      <x:c r="E141" s="14" t="n">
        <x:v>15</x:v>
      </x:c>
      <x:c r="F141" t="str">
        <x:v>Mensal</x:v>
      </x:c>
      <x:c r="G141" t="str">
        <x:v>Sim</x:v>
      </x:c>
      <x:c r="H141" s="14" t="n">
        <x:v>30</x:v>
      </x:c>
      <x:c r="I141" t="str">
        <x:v>Sim</x:v>
      </x:c>
      <x:c r="J141" s="14" t="n">
        <x:v>20</x:v>
      </x:c>
      <x:c r="K141" s="14" t="n">
        <x:v>15</x:v>
      </x:c>
      <x:c r="L141" s="14" t="n">
        <x:v>50</x:v>
      </x:c>
      <x:c r="M141" s="12" t="n">
        <x:f>DATE(YEAR(C141),MONTH(C141),1)</x:f>
        <x:v>45474</x:v>
      </x:c>
      <x:c r="N141" t="str">
        <x:f>IF(ABS(E141+H141+J141-K141-L141)&lt;0.001,"OK","REVER")</x:f>
        <x:v>OK</x:v>
      </x:c>
    </x:row>
    <x:row r="142" ht="22" customHeight="1">
      <x:c r="A142" t="n">
        <x:v>3371</x:v>
      </x:c>
      <x:c r="B142" t="str">
        <x:v>Standard</x:v>
      </x:c>
      <x:c r="C142" s="10" t="n">
        <x:v>45488</x:v>
      </x:c>
      <x:c r="D142" t="str">
        <x:v>Não</x:v>
      </x:c>
      <x:c r="E142" s="14" t="n">
        <x:v>10</x:v>
      </x:c>
      <x:c r="F142" t="str">
        <x:v>Mensal</x:v>
      </x:c>
      <x:c r="G142" t="str">
        <x:v>Não</x:v>
      </x:c>
      <x:c r="H142" s="14" t="n">
        <x:v>0</x:v>
      </x:c>
      <x:c r="I142" t="str">
        <x:v>Sim</x:v>
      </x:c>
      <x:c r="J142" s="14" t="n">
        <x:v>20</x:v>
      </x:c>
      <x:c r="K142" s="14" t="n">
        <x:v>5</x:v>
      </x:c>
      <x:c r="L142" s="14" t="n">
        <x:v>25</x:v>
      </x:c>
      <x:c r="M142" s="12" t="n">
        <x:f>DATE(YEAR(C142),MONTH(C142),1)</x:f>
        <x:v>45474</x:v>
      </x:c>
      <x:c r="N142" t="str">
        <x:f>IF(ABS(E142+H142+J142-K142-L142)&lt;0.001,"OK","REVER")</x:f>
        <x:v>OK</x:v>
      </x:c>
    </x:row>
    <x:row r="143" ht="22" customHeight="1">
      <x:c r="A143" t="n">
        <x:v>3372</x:v>
      </x:c>
      <x:c r="B143" t="str">
        <x:v>Core</x:v>
      </x:c>
      <x:c r="C143" s="10" t="n">
        <x:v>45489</x:v>
      </x:c>
      <x:c r="D143" t="str">
        <x:v>Sim</x:v>
      </x:c>
      <x:c r="E143" s="14" t="n">
        <x:v>5</x:v>
      </x:c>
      <x:c r="F143" t="str">
        <x:v>Anual</x:v>
      </x:c>
      <x:c r="G143" t="str">
        <x:v>Não</x:v>
      </x:c>
      <x:c r="H143" s="14" t="n">
        <x:v>0</x:v>
      </x:c>
      <x:c r="I143" t="str">
        <x:v>Não</x:v>
      </x:c>
      <x:c r="J143" s="14" t="n">
        <x:v>0</x:v>
      </x:c>
      <x:c r="K143" s="14" t="n">
        <x:v>0</x:v>
      </x:c>
      <x:c r="L143" s="14" t="n">
        <x:v>5</x:v>
      </x:c>
      <x:c r="M143" s="12" t="n">
        <x:f>DATE(YEAR(C143),MONTH(C143),1)</x:f>
        <x:v>45474</x:v>
      </x:c>
      <x:c r="N143" t="str">
        <x:f>IF(ABS(E143+H143+J143-K143-L143)&lt;0.001,"OK","REVER")</x:f>
        <x:v>OK</x:v>
      </x:c>
    </x:row>
    <x:row r="144" ht="22" customHeight="1">
      <x:c r="A144" t="n">
        <x:v>3373</x:v>
      </x:c>
      <x:c r="B144" t="str">
        <x:v>Ultimate</x:v>
      </x:c>
      <x:c r="C144" s="10" t="n">
        <x:v>45490</x:v>
      </x:c>
      <x:c r="D144" t="str">
        <x:v>Não</x:v>
      </x:c>
      <x:c r="E144" s="14" t="n">
        <x:v>15</x:v>
      </x:c>
      <x:c r="F144" t="str">
        <x:v>Trimestral</x:v>
      </x:c>
      <x:c r="G144" t="str">
        <x:v>Sim</x:v>
      </x:c>
      <x:c r="H144" s="14" t="n">
        <x:v>30</x:v>
      </x:c>
      <x:c r="I144" t="str">
        <x:v>Sim</x:v>
      </x:c>
      <x:c r="J144" s="14" t="n">
        <x:v>20</x:v>
      </x:c>
      <x:c r="K144" s="14" t="n">
        <x:v>20</x:v>
      </x:c>
      <x:c r="L144" s="14" t="n">
        <x:v>45</x:v>
      </x:c>
      <x:c r="M144" s="12" t="n">
        <x:f>DATE(YEAR(C144),MONTH(C144),1)</x:f>
        <x:v>45474</x:v>
      </x:c>
      <x:c r="N144" t="str">
        <x:f>IF(ABS(E144+H144+J144-K144-L144)&lt;0.001,"OK","REVER")</x:f>
        <x:v>OK</x:v>
      </x:c>
    </x:row>
    <x:row r="145" ht="22" customHeight="1">
      <x:c r="A145" t="n">
        <x:v>3374</x:v>
      </x:c>
      <x:c r="B145" t="str">
        <x:v>Standard</x:v>
      </x:c>
      <x:c r="C145" s="10" t="n">
        <x:v>45491</x:v>
      </x:c>
      <x:c r="D145" t="str">
        <x:v>Sim</x:v>
      </x:c>
      <x:c r="E145" s="14" t="n">
        <x:v>10</x:v>
      </x:c>
      <x:c r="F145" t="str">
        <x:v>Trimestral</x:v>
      </x:c>
      <x:c r="G145" t="str">
        <x:v>Não</x:v>
      </x:c>
      <x:c r="H145" s="14" t="n">
        <x:v>0</x:v>
      </x:c>
      <x:c r="I145" t="str">
        <x:v>Sim</x:v>
      </x:c>
      <x:c r="J145" s="14" t="n">
        <x:v>20</x:v>
      </x:c>
      <x:c r="K145" s="14" t="n">
        <x:v>12</x:v>
      </x:c>
      <x:c r="L145" s="14" t="n">
        <x:v>18</x:v>
      </x:c>
      <x:c r="M145" s="12" t="n">
        <x:f>DATE(YEAR(C145),MONTH(C145),1)</x:f>
        <x:v>45474</x:v>
      </x:c>
      <x:c r="N145" t="str">
        <x:f>IF(ABS(E145+H145+J145-K145-L145)&lt;0.001,"OK","REVER")</x:f>
        <x:v>OK</x:v>
      </x:c>
    </x:row>
    <x:row r="146" ht="22" customHeight="1">
      <x:c r="A146" t="n">
        <x:v>3375</x:v>
      </x:c>
      <x:c r="B146" t="str">
        <x:v>Core</x:v>
      </x:c>
      <x:c r="C146" s="10" t="n">
        <x:v>45492</x:v>
      </x:c>
      <x:c r="D146" t="str">
        <x:v>Não</x:v>
      </x:c>
      <x:c r="E146" s="14" t="n">
        <x:v>5</x:v>
      </x:c>
      <x:c r="F146" t="str">
        <x:v>Mensal</x:v>
      </x:c>
      <x:c r="G146" t="str">
        <x:v>Não</x:v>
      </x:c>
      <x:c r="H146" s="14" t="n">
        <x:v>0</x:v>
      </x:c>
      <x:c r="I146" t="str">
        <x:v>Não</x:v>
      </x:c>
      <x:c r="J146" s="14" t="n">
        <x:v>0</x:v>
      </x:c>
      <x:c r="K146" s="14" t="n">
        <x:v>2</x:v>
      </x:c>
      <x:c r="L146" s="14" t="n">
        <x:v>3</x:v>
      </x:c>
      <x:c r="M146" s="12" t="n">
        <x:f>DATE(YEAR(C146),MONTH(C146),1)</x:f>
        <x:v>45474</x:v>
      </x:c>
      <x:c r="N146" t="str">
        <x:f>IF(ABS(E146+H146+J146-K146-L146)&lt;0.001,"OK","REVER")</x:f>
        <x:v>OK</x:v>
      </x:c>
    </x:row>
    <x:row r="147" ht="22" customHeight="1">
      <x:c r="A147" t="n">
        <x:v>3376</x:v>
      </x:c>
      <x:c r="B147" t="str">
        <x:v>Ultimate</x:v>
      </x:c>
      <x:c r="C147" s="10" t="n">
        <x:v>45493</x:v>
      </x:c>
      <x:c r="D147" t="str">
        <x:v>Sim</x:v>
      </x:c>
      <x:c r="E147" s="14" t="n">
        <x:v>15</x:v>
      </x:c>
      <x:c r="F147" t="str">
        <x:v>Anual</x:v>
      </x:c>
      <x:c r="G147" t="str">
        <x:v>Sim</x:v>
      </x:c>
      <x:c r="H147" s="14" t="n">
        <x:v>30</x:v>
      </x:c>
      <x:c r="I147" t="str">
        <x:v>Sim</x:v>
      </x:c>
      <x:c r="J147" s="14" t="n">
        <x:v>20</x:v>
      </x:c>
      <x:c r="K147" s="14" t="n">
        <x:v>5</x:v>
      </x:c>
      <x:c r="L147" s="14" t="n">
        <x:v>60</x:v>
      </x:c>
      <x:c r="M147" s="12" t="n">
        <x:f>DATE(YEAR(C147),MONTH(C147),1)</x:f>
        <x:v>45474</x:v>
      </x:c>
      <x:c r="N147" t="str">
        <x:f>IF(ABS(E147+H147+J147-K147-L147)&lt;0.001,"OK","REVER")</x:f>
        <x:v>OK</x:v>
      </x:c>
    </x:row>
    <x:row r="148" ht="22" customHeight="1">
      <x:c r="A148" t="n">
        <x:v>3377</x:v>
      </x:c>
      <x:c r="B148" t="str">
        <x:v>Standard</x:v>
      </x:c>
      <x:c r="C148" s="10" t="n">
        <x:v>45494</x:v>
      </x:c>
      <x:c r="D148" t="str">
        <x:v>Não</x:v>
      </x:c>
      <x:c r="E148" s="14" t="n">
        <x:v>10</x:v>
      </x:c>
      <x:c r="F148" t="str">
        <x:v>Mensal</x:v>
      </x:c>
      <x:c r="G148" t="str">
        <x:v>Não</x:v>
      </x:c>
      <x:c r="H148" s="14" t="n">
        <x:v>0</x:v>
      </x:c>
      <x:c r="I148" t="str">
        <x:v>Sim</x:v>
      </x:c>
      <x:c r="J148" s="14" t="n">
        <x:v>20</x:v>
      </x:c>
      <x:c r="K148" s="14" t="n">
        <x:v>10</x:v>
      </x:c>
      <x:c r="L148" s="14" t="n">
        <x:v>20</x:v>
      </x:c>
      <x:c r="M148" s="12" t="n">
        <x:f>DATE(YEAR(C148),MONTH(C148),1)</x:f>
        <x:v>45474</x:v>
      </x:c>
      <x:c r="N148" t="str">
        <x:f>IF(ABS(E148+H148+J148-K148-L148)&lt;0.001,"OK","REVER")</x:f>
        <x:v>OK</x:v>
      </x:c>
    </x:row>
    <x:row r="149" ht="22" customHeight="1">
      <x:c r="A149" t="n">
        <x:v>3378</x:v>
      </x:c>
      <x:c r="B149" t="str">
        <x:v>Core</x:v>
      </x:c>
      <x:c r="C149" s="10" t="n">
        <x:v>45495</x:v>
      </x:c>
      <x:c r="D149" t="str">
        <x:v>Sim</x:v>
      </x:c>
      <x:c r="E149" s="14" t="n">
        <x:v>5</x:v>
      </x:c>
      <x:c r="F149" t="str">
        <x:v>Trimestral</x:v>
      </x:c>
      <x:c r="G149" t="str">
        <x:v>Não</x:v>
      </x:c>
      <x:c r="H149" s="14" t="n">
        <x:v>0</x:v>
      </x:c>
      <x:c r="I149" t="str">
        <x:v>Não</x:v>
      </x:c>
      <x:c r="J149" s="14" t="n">
        <x:v>0</x:v>
      </x:c>
      <x:c r="K149" s="14" t="n">
        <x:v>0</x:v>
      </x:c>
      <x:c r="L149" s="14" t="n">
        <x:v>5</x:v>
      </x:c>
      <x:c r="M149" s="12" t="n">
        <x:f>DATE(YEAR(C149),MONTH(C149),1)</x:f>
        <x:v>45474</x:v>
      </x:c>
      <x:c r="N149" t="str">
        <x:f>IF(ABS(E149+H149+J149-K149-L149)&lt;0.001,"OK","REVER")</x:f>
        <x:v>OK</x:v>
      </x:c>
    </x:row>
    <x:row r="150" ht="22" customHeight="1">
      <x:c r="A150" t="n">
        <x:v>3379</x:v>
      </x:c>
      <x:c r="B150" t="str">
        <x:v>Ultimate</x:v>
      </x:c>
      <x:c r="C150" s="10" t="n">
        <x:v>45496</x:v>
      </x:c>
      <x:c r="D150" t="str">
        <x:v>Não</x:v>
      </x:c>
      <x:c r="E150" s="14" t="n">
        <x:v>15</x:v>
      </x:c>
      <x:c r="F150" t="str">
        <x:v>Mensal</x:v>
      </x:c>
      <x:c r="G150" t="str">
        <x:v>Sim</x:v>
      </x:c>
      <x:c r="H150" s="14" t="n">
        <x:v>30</x:v>
      </x:c>
      <x:c r="I150" t="str">
        <x:v>Sim</x:v>
      </x:c>
      <x:c r="J150" s="14" t="n">
        <x:v>20</x:v>
      </x:c>
      <x:c r="K150" s="14" t="n">
        <x:v>3</x:v>
      </x:c>
      <x:c r="L150" s="14" t="n">
        <x:v>62</x:v>
      </x:c>
      <x:c r="M150" s="12" t="n">
        <x:f>DATE(YEAR(C150),MONTH(C150),1)</x:f>
        <x:v>45474</x:v>
      </x:c>
      <x:c r="N150" t="str">
        <x:f>IF(ABS(E150+H150+J150-K150-L150)&lt;0.001,"OK","REVER")</x:f>
        <x:v>OK</x:v>
      </x:c>
    </x:row>
    <x:row r="151" ht="22" customHeight="1">
      <x:c r="A151" t="n">
        <x:v>3380</x:v>
      </x:c>
      <x:c r="B151" t="str">
        <x:v>Standard</x:v>
      </x:c>
      <x:c r="C151" s="10" t="n">
        <x:v>45497</x:v>
      </x:c>
      <x:c r="D151" t="str">
        <x:v>Sim</x:v>
      </x:c>
      <x:c r="E151" s="14" t="n">
        <x:v>10</x:v>
      </x:c>
      <x:c r="F151" t="str">
        <x:v>Anual</x:v>
      </x:c>
      <x:c r="G151" t="str">
        <x:v>Não</x:v>
      </x:c>
      <x:c r="H151" s="14" t="n">
        <x:v>0</x:v>
      </x:c>
      <x:c r="I151" t="str">
        <x:v>Sim</x:v>
      </x:c>
      <x:c r="J151" s="14" t="n">
        <x:v>20</x:v>
      </x:c>
      <x:c r="K151" s="14" t="n">
        <x:v>15</x:v>
      </x:c>
      <x:c r="L151" s="14" t="n">
        <x:v>15</x:v>
      </x:c>
      <x:c r="M151" s="12" t="n">
        <x:f>DATE(YEAR(C151),MONTH(C151),1)</x:f>
        <x:v>45474</x:v>
      </x:c>
      <x:c r="N151" t="str">
        <x:f>IF(ABS(E151+H151+J151-K151-L151)&lt;0.001,"OK","REVER")</x:f>
        <x:v>OK</x:v>
      </x:c>
    </x:row>
    <x:row r="152" ht="22" customHeight="1">
      <x:c r="A152" t="n">
        <x:v>3381</x:v>
      </x:c>
      <x:c r="B152" t="str">
        <x:v>Core</x:v>
      </x:c>
      <x:c r="C152" s="10" t="n">
        <x:v>45498</x:v>
      </x:c>
      <x:c r="D152" t="str">
        <x:v>Não</x:v>
      </x:c>
      <x:c r="E152" s="14" t="n">
        <x:v>5</x:v>
      </x:c>
      <x:c r="F152" t="str">
        <x:v>Mensal</x:v>
      </x:c>
      <x:c r="G152" t="str">
        <x:v>Não</x:v>
      </x:c>
      <x:c r="H152" s="14" t="n">
        <x:v>0</x:v>
      </x:c>
      <x:c r="I152" t="str">
        <x:v>Não</x:v>
      </x:c>
      <x:c r="J152" s="14" t="n">
        <x:v>0</x:v>
      </x:c>
      <x:c r="K152" s="14" t="n">
        <x:v>1</x:v>
      </x:c>
      <x:c r="L152" s="14" t="n">
        <x:v>4</x:v>
      </x:c>
      <x:c r="M152" s="12" t="n">
        <x:f>DATE(YEAR(C152),MONTH(C152),1)</x:f>
        <x:v>45474</x:v>
      </x:c>
      <x:c r="N152" t="str">
        <x:f>IF(ABS(E152+H152+J152-K152-L152)&lt;0.001,"OK","REVER")</x:f>
        <x:v>OK</x:v>
      </x:c>
    </x:row>
    <x:row r="153" ht="22" customHeight="1">
      <x:c r="A153" t="n">
        <x:v>3382</x:v>
      </x:c>
      <x:c r="B153" t="str">
        <x:v>Ultimate</x:v>
      </x:c>
      <x:c r="C153" s="10" t="n">
        <x:v>45499</x:v>
      </x:c>
      <x:c r="D153" t="str">
        <x:v>Sim</x:v>
      </x:c>
      <x:c r="E153" s="14" t="n">
        <x:v>15</x:v>
      </x:c>
      <x:c r="F153" t="str">
        <x:v>Trimestral</x:v>
      </x:c>
      <x:c r="G153" t="str">
        <x:v>Sim</x:v>
      </x:c>
      <x:c r="H153" s="14" t="n">
        <x:v>30</x:v>
      </x:c>
      <x:c r="I153" t="str">
        <x:v>Sim</x:v>
      </x:c>
      <x:c r="J153" s="14" t="n">
        <x:v>20</x:v>
      </x:c>
      <x:c r="K153" s="14" t="n">
        <x:v>7</x:v>
      </x:c>
      <x:c r="L153" s="14" t="n">
        <x:v>58</x:v>
      </x:c>
      <x:c r="M153" s="12" t="n">
        <x:f>DATE(YEAR(C153),MONTH(C153),1)</x:f>
        <x:v>45474</x:v>
      </x:c>
      <x:c r="N153" t="str">
        <x:f>IF(ABS(E153+H153+J153-K153-L153)&lt;0.001,"OK","REVER")</x:f>
        <x:v>OK</x:v>
      </x:c>
    </x:row>
    <x:row r="154" ht="22" customHeight="1">
      <x:c r="A154" t="n">
        <x:v>3383</x:v>
      </x:c>
      <x:c r="B154" t="str">
        <x:v>Standard</x:v>
      </x:c>
      <x:c r="C154" s="10" t="n">
        <x:v>45500</x:v>
      </x:c>
      <x:c r="D154" t="str">
        <x:v>Não</x:v>
      </x:c>
      <x:c r="E154" s="14" t="n">
        <x:v>10</x:v>
      </x:c>
      <x:c r="F154" t="str">
        <x:v>Mensal</x:v>
      </x:c>
      <x:c r="G154" t="str">
        <x:v>Não</x:v>
      </x:c>
      <x:c r="H154" s="14" t="n">
        <x:v>0</x:v>
      </x:c>
      <x:c r="I154" t="str">
        <x:v>Sim</x:v>
      </x:c>
      <x:c r="J154" s="14" t="n">
        <x:v>20</x:v>
      </x:c>
      <x:c r="K154" s="14" t="n">
        <x:v>10</x:v>
      </x:c>
      <x:c r="L154" s="14" t="n">
        <x:v>20</x:v>
      </x:c>
      <x:c r="M154" s="12" t="n">
        <x:f>DATE(YEAR(C154),MONTH(C154),1)</x:f>
        <x:v>45474</x:v>
      </x:c>
      <x:c r="N154" t="str">
        <x:f>IF(ABS(E154+H154+J154-K154-L154)&lt;0.001,"OK","REVER")</x:f>
        <x:v>OK</x:v>
      </x:c>
    </x:row>
    <x:row r="155" ht="22" customHeight="1">
      <x:c r="A155" t="n">
        <x:v>3384</x:v>
      </x:c>
      <x:c r="B155" t="str">
        <x:v>Core</x:v>
      </x:c>
      <x:c r="C155" s="10" t="n">
        <x:v>45501</x:v>
      </x:c>
      <x:c r="D155" t="str">
        <x:v>Sim</x:v>
      </x:c>
      <x:c r="E155" s="14" t="n">
        <x:v>5</x:v>
      </x:c>
      <x:c r="F155" t="str">
        <x:v>Anual</x:v>
      </x:c>
      <x:c r="G155" t="str">
        <x:v>Não</x:v>
      </x:c>
      <x:c r="H155" s="14" t="n">
        <x:v>0</x:v>
      </x:c>
      <x:c r="I155" t="str">
        <x:v>Não</x:v>
      </x:c>
      <x:c r="J155" s="14" t="n">
        <x:v>0</x:v>
      </x:c>
      <x:c r="K155" s="14" t="n">
        <x:v>0</x:v>
      </x:c>
      <x:c r="L155" s="14" t="n">
        <x:v>5</x:v>
      </x:c>
      <x:c r="M155" s="12" t="n">
        <x:f>DATE(YEAR(C155),MONTH(C155),1)</x:f>
        <x:v>45474</x:v>
      </x:c>
      <x:c r="N155" t="str">
        <x:f>IF(ABS(E155+H155+J155-K155-L155)&lt;0.001,"OK","REVER")</x:f>
        <x:v>OK</x:v>
      </x:c>
    </x:row>
    <x:row r="156" ht="22" customHeight="1">
      <x:c r="A156" t="n">
        <x:v>3385</x:v>
      </x:c>
      <x:c r="B156" t="str">
        <x:v>Ultimate</x:v>
      </x:c>
      <x:c r="C156" s="10" t="n">
        <x:v>45502</x:v>
      </x:c>
      <x:c r="D156" t="str">
        <x:v>Não</x:v>
      </x:c>
      <x:c r="E156" s="14" t="n">
        <x:v>15</x:v>
      </x:c>
      <x:c r="F156" t="str">
        <x:v>Mensal</x:v>
      </x:c>
      <x:c r="G156" t="str">
        <x:v>Sim</x:v>
      </x:c>
      <x:c r="H156" s="14" t="n">
        <x:v>30</x:v>
      </x:c>
      <x:c r="I156" t="str">
        <x:v>Sim</x:v>
      </x:c>
      <x:c r="J156" s="14" t="n">
        <x:v>20</x:v>
      </x:c>
      <x:c r="K156" s="14" t="n">
        <x:v>20</x:v>
      </x:c>
      <x:c r="L156" s="14" t="n">
        <x:v>45</x:v>
      </x:c>
      <x:c r="M156" s="12" t="n">
        <x:f>DATE(YEAR(C156),MONTH(C156),1)</x:f>
        <x:v>45474</x:v>
      </x:c>
      <x:c r="N156" t="str">
        <x:f>IF(ABS(E156+H156+J156-K156-L156)&lt;0.001,"OK","REVER")</x:f>
        <x:v>OK</x:v>
      </x:c>
    </x:row>
    <x:row r="157" ht="22" customHeight="1">
      <x:c r="A157" t="n">
        <x:v>3386</x:v>
      </x:c>
      <x:c r="B157" t="str">
        <x:v>Standard</x:v>
      </x:c>
      <x:c r="C157" s="10" t="n">
        <x:v>45503</x:v>
      </x:c>
      <x:c r="D157" t="str">
        <x:v>Sim</x:v>
      </x:c>
      <x:c r="E157" s="14" t="n">
        <x:v>10</x:v>
      </x:c>
      <x:c r="F157" t="str">
        <x:v>Trimestral</x:v>
      </x:c>
      <x:c r="G157" t="str">
        <x:v>Não</x:v>
      </x:c>
      <x:c r="H157" s="14" t="n">
        <x:v>0</x:v>
      </x:c>
      <x:c r="I157" t="str">
        <x:v>Sim</x:v>
      </x:c>
      <x:c r="J157" s="14" t="n">
        <x:v>20</x:v>
      </x:c>
      <x:c r="K157" s="14" t="n">
        <x:v>15</x:v>
      </x:c>
      <x:c r="L157" s="14" t="n">
        <x:v>15</x:v>
      </x:c>
      <x:c r="M157" s="12" t="n">
        <x:f>DATE(YEAR(C157),MONTH(C157),1)</x:f>
        <x:v>45474</x:v>
      </x:c>
      <x:c r="N157" t="str">
        <x:f>IF(ABS(E157+H157+J157-K157-L157)&lt;0.001,"OK","REVER")</x:f>
        <x:v>OK</x:v>
      </x:c>
    </x:row>
    <x:row r="158" ht="22" customHeight="1">
      <x:c r="A158" t="n">
        <x:v>3387</x:v>
      </x:c>
      <x:c r="B158" t="str">
        <x:v>Core</x:v>
      </x:c>
      <x:c r="C158" s="10" t="n">
        <x:v>45504</x:v>
      </x:c>
      <x:c r="D158" t="str">
        <x:v>Não</x:v>
      </x:c>
      <x:c r="E158" s="14" t="n">
        <x:v>5</x:v>
      </x:c>
      <x:c r="F158" t="str">
        <x:v>Mensal</x:v>
      </x:c>
      <x:c r="G158" t="str">
        <x:v>Não</x:v>
      </x:c>
      <x:c r="H158" s="14" t="n">
        <x:v>0</x:v>
      </x:c>
      <x:c r="I158" t="str">
        <x:v>Não</x:v>
      </x:c>
      <x:c r="J158" s="14" t="n">
        <x:v>0</x:v>
      </x:c>
      <x:c r="K158" s="14" t="n">
        <x:v>1</x:v>
      </x:c>
      <x:c r="L158" s="14" t="n">
        <x:v>4</x:v>
      </x:c>
      <x:c r="M158" s="12" t="n">
        <x:f>DATE(YEAR(C158),MONTH(C158),1)</x:f>
        <x:v>45474</x:v>
      </x:c>
      <x:c r="N158" t="str">
        <x:f>IF(ABS(E158+H158+J158-K158-L158)&lt;0.001,"OK","REVER")</x:f>
        <x:v>OK</x:v>
      </x:c>
    </x:row>
    <x:row r="159" ht="22" customHeight="1">
      <x:c r="A159" t="n">
        <x:v>3388</x:v>
      </x:c>
      <x:c r="B159" t="str">
        <x:v>Ultimate</x:v>
      </x:c>
      <x:c r="C159" s="10" t="n">
        <x:v>45505</x:v>
      </x:c>
      <x:c r="D159" t="str">
        <x:v>Sim</x:v>
      </x:c>
      <x:c r="E159" s="14" t="n">
        <x:v>15</x:v>
      </x:c>
      <x:c r="F159" t="str">
        <x:v>Anual</x:v>
      </x:c>
      <x:c r="G159" t="str">
        <x:v>Sim</x:v>
      </x:c>
      <x:c r="H159" s="14" t="n">
        <x:v>30</x:v>
      </x:c>
      <x:c r="I159" t="str">
        <x:v>Sim</x:v>
      </x:c>
      <x:c r="J159" s="14" t="n">
        <x:v>20</x:v>
      </x:c>
      <x:c r="K159" s="14" t="n">
        <x:v>3</x:v>
      </x:c>
      <x:c r="L159" s="14" t="n">
        <x:v>62</x:v>
      </x:c>
      <x:c r="M159" s="12" t="n">
        <x:f>DATE(YEAR(C159),MONTH(C159),1)</x:f>
        <x:v>45505</x:v>
      </x:c>
      <x:c r="N159" t="str">
        <x:f>IF(ABS(E159+H159+J159-K159-L159)&lt;0.001,"OK","REVER")</x:f>
        <x:v>OK</x:v>
      </x:c>
    </x:row>
    <x:row r="160" ht="22" customHeight="1">
      <x:c r="A160" t="n">
        <x:v>3389</x:v>
      </x:c>
      <x:c r="B160" t="str">
        <x:v>Standard</x:v>
      </x:c>
      <x:c r="C160" s="10" t="n">
        <x:v>45506</x:v>
      </x:c>
      <x:c r="D160" t="str">
        <x:v>Não</x:v>
      </x:c>
      <x:c r="E160" s="14" t="n">
        <x:v>10</x:v>
      </x:c>
      <x:c r="F160" t="str">
        <x:v>Mensal</x:v>
      </x:c>
      <x:c r="G160" t="str">
        <x:v>Não</x:v>
      </x:c>
      <x:c r="H160" s="14" t="n">
        <x:v>0</x:v>
      </x:c>
      <x:c r="I160" t="str">
        <x:v>Sim</x:v>
      </x:c>
      <x:c r="J160" s="14" t="n">
        <x:v>20</x:v>
      </x:c>
      <x:c r="K160" s="14" t="n">
        <x:v>10</x:v>
      </x:c>
      <x:c r="L160" s="14" t="n">
        <x:v>20</x:v>
      </x:c>
      <x:c r="M160" s="12" t="n">
        <x:f>DATE(YEAR(C160),MONTH(C160),1)</x:f>
        <x:v>45505</x:v>
      </x:c>
      <x:c r="N160" t="str">
        <x:f>IF(ABS(E160+H160+J160-K160-L160)&lt;0.001,"OK","REVER")</x:f>
        <x:v>OK</x:v>
      </x:c>
    </x:row>
    <x:row r="161" ht="22" customHeight="1">
      <x:c r="A161" t="n">
        <x:v>3390</x:v>
      </x:c>
      <x:c r="B161" t="str">
        <x:v>Core</x:v>
      </x:c>
      <x:c r="C161" s="10" t="n">
        <x:v>45507</x:v>
      </x:c>
      <x:c r="D161" t="str">
        <x:v>Sim</x:v>
      </x:c>
      <x:c r="E161" s="14" t="n">
        <x:v>5</x:v>
      </x:c>
      <x:c r="F161" t="str">
        <x:v>Trimestral</x:v>
      </x:c>
      <x:c r="G161" t="str">
        <x:v>Não</x:v>
      </x:c>
      <x:c r="H161" s="14" t="n">
        <x:v>0</x:v>
      </x:c>
      <x:c r="I161" t="str">
        <x:v>Não</x:v>
      </x:c>
      <x:c r="J161" s="14" t="n">
        <x:v>0</x:v>
      </x:c>
      <x:c r="K161" s="14" t="n">
        <x:v>0</x:v>
      </x:c>
      <x:c r="L161" s="14" t="n">
        <x:v>5</x:v>
      </x:c>
      <x:c r="M161" s="12" t="n">
        <x:f>DATE(YEAR(C161),MONTH(C161),1)</x:f>
        <x:v>45505</x:v>
      </x:c>
      <x:c r="N161" t="str">
        <x:f>IF(ABS(E161+H161+J161-K161-L161)&lt;0.001,"OK","REVER")</x:f>
        <x:v>OK</x:v>
      </x:c>
    </x:row>
    <x:row r="162" ht="22" customHeight="1">
      <x:c r="A162" t="n">
        <x:v>3391</x:v>
      </x:c>
      <x:c r="B162" t="str">
        <x:v>Ultimate</x:v>
      </x:c>
      <x:c r="C162" s="10" t="n">
        <x:v>45508</x:v>
      </x:c>
      <x:c r="D162" t="str">
        <x:v>Não</x:v>
      </x:c>
      <x:c r="E162" s="14" t="n">
        <x:v>15</x:v>
      </x:c>
      <x:c r="F162" t="str">
        <x:v>Mensal</x:v>
      </x:c>
      <x:c r="G162" t="str">
        <x:v>Sim</x:v>
      </x:c>
      <x:c r="H162" s="14" t="n">
        <x:v>30</x:v>
      </x:c>
      <x:c r="I162" t="str">
        <x:v>Sim</x:v>
      </x:c>
      <x:c r="J162" s="14" t="n">
        <x:v>20</x:v>
      </x:c>
      <x:c r="K162" s="14" t="n">
        <x:v>15</x:v>
      </x:c>
      <x:c r="L162" s="14" t="n">
        <x:v>50</x:v>
      </x:c>
      <x:c r="M162" s="12" t="n">
        <x:f>DATE(YEAR(C162),MONTH(C162),1)</x:f>
        <x:v>45505</x:v>
      </x:c>
      <x:c r="N162" t="str">
        <x:f>IF(ABS(E162+H162+J162-K162-L162)&lt;0.001,"OK","REVER")</x:f>
        <x:v>OK</x:v>
      </x:c>
    </x:row>
    <x:row r="163" ht="22" customHeight="1">
      <x:c r="A163" t="n">
        <x:v>3392</x:v>
      </x:c>
      <x:c r="B163" t="str">
        <x:v>Standard</x:v>
      </x:c>
      <x:c r="C163" s="10" t="n">
        <x:v>45509</x:v>
      </x:c>
      <x:c r="D163" t="str">
        <x:v>Sim</x:v>
      </x:c>
      <x:c r="E163" s="14" t="n">
        <x:v>10</x:v>
      </x:c>
      <x:c r="F163" t="str">
        <x:v>Anual</x:v>
      </x:c>
      <x:c r="G163" t="str">
        <x:v>Não</x:v>
      </x:c>
      <x:c r="H163" s="14" t="n">
        <x:v>0</x:v>
      </x:c>
      <x:c r="I163" t="str">
        <x:v>Sim</x:v>
      </x:c>
      <x:c r="J163" s="14" t="n">
        <x:v>20</x:v>
      </x:c>
      <x:c r="K163" s="14" t="n">
        <x:v>15</x:v>
      </x:c>
      <x:c r="L163" s="14" t="n">
        <x:v>15</x:v>
      </x:c>
      <x:c r="M163" s="12" t="n">
        <x:f>DATE(YEAR(C163),MONTH(C163),1)</x:f>
        <x:v>45505</x:v>
      </x:c>
      <x:c r="N163" t="str">
        <x:f>IF(ABS(E163+H163+J163-K163-L163)&lt;0.001,"OK","REVER")</x:f>
        <x:v>OK</x:v>
      </x:c>
    </x:row>
    <x:row r="164" ht="22" customHeight="1">
      <x:c r="A164" t="n">
        <x:v>3393</x:v>
      </x:c>
      <x:c r="B164" t="str">
        <x:v>Core</x:v>
      </x:c>
      <x:c r="C164" s="10" t="n">
        <x:v>45510</x:v>
      </x:c>
      <x:c r="D164" t="str">
        <x:v>Não</x:v>
      </x:c>
      <x:c r="E164" s="14" t="n">
        <x:v>5</x:v>
      </x:c>
      <x:c r="F164" t="str">
        <x:v>Mensal</x:v>
      </x:c>
      <x:c r="G164" t="str">
        <x:v>Não</x:v>
      </x:c>
      <x:c r="H164" s="14" t="n">
        <x:v>0</x:v>
      </x:c>
      <x:c r="I164" t="str">
        <x:v>Não</x:v>
      </x:c>
      <x:c r="J164" s="14" t="n">
        <x:v>0</x:v>
      </x:c>
      <x:c r="K164" s="14" t="n">
        <x:v>1</x:v>
      </x:c>
      <x:c r="L164" s="14" t="n">
        <x:v>4</x:v>
      </x:c>
      <x:c r="M164" s="12" t="n">
        <x:f>DATE(YEAR(C164),MONTH(C164),1)</x:f>
        <x:v>45505</x:v>
      </x:c>
      <x:c r="N164" t="str">
        <x:f>IF(ABS(E164+H164+J164-K164-L164)&lt;0.001,"OK","REVER")</x:f>
        <x:v>OK</x:v>
      </x:c>
    </x:row>
    <x:row r="165" ht="22" customHeight="1">
      <x:c r="A165" t="n">
        <x:v>3394</x:v>
      </x:c>
      <x:c r="B165" t="str">
        <x:v>Ultimate</x:v>
      </x:c>
      <x:c r="C165" s="10" t="n">
        <x:v>45511</x:v>
      </x:c>
      <x:c r="D165" t="str">
        <x:v>Sim</x:v>
      </x:c>
      <x:c r="E165" s="14" t="n">
        <x:v>15</x:v>
      </x:c>
      <x:c r="F165" t="str">
        <x:v>Trimestral</x:v>
      </x:c>
      <x:c r="G165" t="str">
        <x:v>Sim</x:v>
      </x:c>
      <x:c r="H165" s="14" t="n">
        <x:v>30</x:v>
      </x:c>
      <x:c r="I165" t="str">
        <x:v>Sim</x:v>
      </x:c>
      <x:c r="J165" s="14" t="n">
        <x:v>20</x:v>
      </x:c>
      <x:c r="K165" s="14" t="n">
        <x:v>7</x:v>
      </x:c>
      <x:c r="L165" s="14" t="n">
        <x:v>58</x:v>
      </x:c>
      <x:c r="M165" s="12" t="n">
        <x:f>DATE(YEAR(C165),MONTH(C165),1)</x:f>
        <x:v>45505</x:v>
      </x:c>
      <x:c r="N165" t="str">
        <x:f>IF(ABS(E165+H165+J165-K165-L165)&lt;0.001,"OK","REVER")</x:f>
        <x:v>OK</x:v>
      </x:c>
    </x:row>
    <x:row r="166" ht="22" customHeight="1">
      <x:c r="A166" t="n">
        <x:v>3395</x:v>
      </x:c>
      <x:c r="B166" t="str">
        <x:v>Standard</x:v>
      </x:c>
      <x:c r="C166" s="10" t="n">
        <x:v>45512</x:v>
      </x:c>
      <x:c r="D166" t="str">
        <x:v>Não</x:v>
      </x:c>
      <x:c r="E166" s="14" t="n">
        <x:v>10</x:v>
      </x:c>
      <x:c r="F166" t="str">
        <x:v>Mensal</x:v>
      </x:c>
      <x:c r="G166" t="str">
        <x:v>Não</x:v>
      </x:c>
      <x:c r="H166" s="14" t="n">
        <x:v>0</x:v>
      </x:c>
      <x:c r="I166" t="str">
        <x:v>Sim</x:v>
      </x:c>
      <x:c r="J166" s="14" t="n">
        <x:v>20</x:v>
      </x:c>
      <x:c r="K166" s="14" t="n">
        <x:v>10</x:v>
      </x:c>
      <x:c r="L166" s="14" t="n">
        <x:v>20</x:v>
      </x:c>
      <x:c r="M166" s="12" t="n">
        <x:f>DATE(YEAR(C166),MONTH(C166),1)</x:f>
        <x:v>45505</x:v>
      </x:c>
      <x:c r="N166" t="str">
        <x:f>IF(ABS(E166+H166+J166-K166-L166)&lt;0.001,"OK","REVER")</x:f>
        <x:v>OK</x:v>
      </x:c>
    </x:row>
    <x:row r="167" ht="22" customHeight="1">
      <x:c r="A167" t="n">
        <x:v>3396</x:v>
      </x:c>
      <x:c r="B167" t="str">
        <x:v>Core</x:v>
      </x:c>
      <x:c r="C167" s="10" t="n">
        <x:v>45513</x:v>
      </x:c>
      <x:c r="D167" t="str">
        <x:v>Sim</x:v>
      </x:c>
      <x:c r="E167" s="14" t="n">
        <x:v>5</x:v>
      </x:c>
      <x:c r="F167" t="str">
        <x:v>Anual</x:v>
      </x:c>
      <x:c r="G167" t="str">
        <x:v>Não</x:v>
      </x:c>
      <x:c r="H167" s="14" t="n">
        <x:v>0</x:v>
      </x:c>
      <x:c r="I167" t="str">
        <x:v>Não</x:v>
      </x:c>
      <x:c r="J167" s="14" t="n">
        <x:v>0</x:v>
      </x:c>
      <x:c r="K167" s="14" t="n">
        <x:v>0</x:v>
      </x:c>
      <x:c r="L167" s="14" t="n">
        <x:v>5</x:v>
      </x:c>
      <x:c r="M167" s="12" t="n">
        <x:f>DATE(YEAR(C167),MONTH(C167),1)</x:f>
        <x:v>45505</x:v>
      </x:c>
      <x:c r="N167" t="str">
        <x:f>IF(ABS(E167+H167+J167-K167-L167)&lt;0.001,"OK","REVER")</x:f>
        <x:v>OK</x:v>
      </x:c>
    </x:row>
    <x:row r="168" ht="22" customHeight="1">
      <x:c r="A168" t="n">
        <x:v>3397</x:v>
      </x:c>
      <x:c r="B168" t="str">
        <x:v>Ultimate</x:v>
      </x:c>
      <x:c r="C168" s="10" t="n">
        <x:v>45514</x:v>
      </x:c>
      <x:c r="D168" t="str">
        <x:v>Não</x:v>
      </x:c>
      <x:c r="E168" s="14" t="n">
        <x:v>15</x:v>
      </x:c>
      <x:c r="F168" t="str">
        <x:v>Mensal</x:v>
      </x:c>
      <x:c r="G168" t="str">
        <x:v>Sim</x:v>
      </x:c>
      <x:c r="H168" s="14" t="n">
        <x:v>30</x:v>
      </x:c>
      <x:c r="I168" t="str">
        <x:v>Sim</x:v>
      </x:c>
      <x:c r="J168" s="14" t="n">
        <x:v>20</x:v>
      </x:c>
      <x:c r="K168" s="14" t="n">
        <x:v>20</x:v>
      </x:c>
      <x:c r="L168" s="14" t="n">
        <x:v>45</x:v>
      </x:c>
      <x:c r="M168" s="12" t="n">
        <x:f>DATE(YEAR(C168),MONTH(C168),1)</x:f>
        <x:v>45505</x:v>
      </x:c>
      <x:c r="N168" t="str">
        <x:f>IF(ABS(E168+H168+J168-K168-L168)&lt;0.001,"OK","REVER")</x:f>
        <x:v>OK</x:v>
      </x:c>
    </x:row>
    <x:row r="169" ht="22" customHeight="1">
      <x:c r="A169" t="n">
        <x:v>3398</x:v>
      </x:c>
      <x:c r="B169" t="str">
        <x:v>Standard</x:v>
      </x:c>
      <x:c r="C169" s="10" t="n">
        <x:v>45515</x:v>
      </x:c>
      <x:c r="D169" t="str">
        <x:v>Sim</x:v>
      </x:c>
      <x:c r="E169" s="14" t="n">
        <x:v>10</x:v>
      </x:c>
      <x:c r="F169" t="str">
        <x:v>Trimestral</x:v>
      </x:c>
      <x:c r="G169" t="str">
        <x:v>Não</x:v>
      </x:c>
      <x:c r="H169" s="14" t="n">
        <x:v>0</x:v>
      </x:c>
      <x:c r="I169" t="str">
        <x:v>Sim</x:v>
      </x:c>
      <x:c r="J169" s="14" t="n">
        <x:v>20</x:v>
      </x:c>
      <x:c r="K169" s="14" t="n">
        <x:v>15</x:v>
      </x:c>
      <x:c r="L169" s="14" t="n">
        <x:v>15</x:v>
      </x:c>
      <x:c r="M169" s="12" t="n">
        <x:f>DATE(YEAR(C169),MONTH(C169),1)</x:f>
        <x:v>45505</x:v>
      </x:c>
      <x:c r="N169" t="str">
        <x:f>IF(ABS(E169+H169+J169-K169-L169)&lt;0.001,"OK","REVER")</x:f>
        <x:v>OK</x:v>
      </x:c>
    </x:row>
    <x:row r="170" ht="22" customHeight="1">
      <x:c r="A170" t="n">
        <x:v>3399</x:v>
      </x:c>
      <x:c r="B170" t="str">
        <x:v>Core</x:v>
      </x:c>
      <x:c r="C170" s="10" t="n">
        <x:v>45516</x:v>
      </x:c>
      <x:c r="D170" t="str">
        <x:v>Não</x:v>
      </x:c>
      <x:c r="E170" s="14" t="n">
        <x:v>5</x:v>
      </x:c>
      <x:c r="F170" t="str">
        <x:v>Mensal</x:v>
      </x:c>
      <x:c r="G170" t="str">
        <x:v>Não</x:v>
      </x:c>
      <x:c r="H170" s="14" t="n">
        <x:v>0</x:v>
      </x:c>
      <x:c r="I170" t="str">
        <x:v>Não</x:v>
      </x:c>
      <x:c r="J170" s="14" t="n">
        <x:v>0</x:v>
      </x:c>
      <x:c r="K170" s="14" t="n">
        <x:v>1</x:v>
      </x:c>
      <x:c r="L170" s="14" t="n">
        <x:v>4</x:v>
      </x:c>
      <x:c r="M170" s="12" t="n">
        <x:f>DATE(YEAR(C170),MONTH(C170),1)</x:f>
        <x:v>45505</x:v>
      </x:c>
      <x:c r="N170" t="str">
        <x:f>IF(ABS(E170+H170+J170-K170-L170)&lt;0.001,"OK","REVER")</x:f>
        <x:v>OK</x:v>
      </x:c>
    </x:row>
    <x:row r="171" ht="22" customHeight="1">
      <x:c r="A171" t="n">
        <x:v>3400</x:v>
      </x:c>
      <x:c r="B171" t="str">
        <x:v>Ultimate</x:v>
      </x:c>
      <x:c r="C171" s="10" t="n">
        <x:v>45517</x:v>
      </x:c>
      <x:c r="D171" t="str">
        <x:v>Sim</x:v>
      </x:c>
      <x:c r="E171" s="14" t="n">
        <x:v>15</x:v>
      </x:c>
      <x:c r="F171" t="str">
        <x:v>Anual</x:v>
      </x:c>
      <x:c r="G171" t="str">
        <x:v>Sim</x:v>
      </x:c>
      <x:c r="H171" s="14" t="n">
        <x:v>30</x:v>
      </x:c>
      <x:c r="I171" t="str">
        <x:v>Sim</x:v>
      </x:c>
      <x:c r="J171" s="14" t="n">
        <x:v>20</x:v>
      </x:c>
      <x:c r="K171" s="14" t="n">
        <x:v>5</x:v>
      </x:c>
      <x:c r="L171" s="14" t="n">
        <x:v>60</x:v>
      </x:c>
      <x:c r="M171" s="12" t="n">
        <x:f>DATE(YEAR(C171),MONTH(C171),1)</x:f>
        <x:v>45505</x:v>
      </x:c>
      <x:c r="N171" t="str">
        <x:f>IF(ABS(E171+H171+J171-K171-L171)&lt;0.001,"OK","REVER")</x:f>
        <x:v>OK</x:v>
      </x:c>
    </x:row>
    <x:row r="172" ht="22" customHeight="1">
      <x:c r="A172" t="n">
        <x:v>3401</x:v>
      </x:c>
      <x:c r="B172" t="str">
        <x:v>Standard</x:v>
      </x:c>
      <x:c r="C172" s="10" t="n">
        <x:v>45518</x:v>
      </x:c>
      <x:c r="D172" t="str">
        <x:v>Não</x:v>
      </x:c>
      <x:c r="E172" s="14" t="n">
        <x:v>10</x:v>
      </x:c>
      <x:c r="F172" t="str">
        <x:v>Mensal</x:v>
      </x:c>
      <x:c r="G172" t="str">
        <x:v>Não</x:v>
      </x:c>
      <x:c r="H172" s="14" t="n">
        <x:v>0</x:v>
      </x:c>
      <x:c r="I172" t="str">
        <x:v>Sim</x:v>
      </x:c>
      <x:c r="J172" s="14" t="n">
        <x:v>20</x:v>
      </x:c>
      <x:c r="K172" s="14" t="n">
        <x:v>10</x:v>
      </x:c>
      <x:c r="L172" s="14" t="n">
        <x:v>20</x:v>
      </x:c>
      <x:c r="M172" s="12" t="n">
        <x:f>DATE(YEAR(C172),MONTH(C172),1)</x:f>
        <x:v>45505</x:v>
      </x:c>
      <x:c r="N172" t="str">
        <x:f>IF(ABS(E172+H172+J172-K172-L172)&lt;0.001,"OK","REVER")</x:f>
        <x:v>OK</x:v>
      </x:c>
    </x:row>
    <x:row r="173" ht="22" customHeight="1">
      <x:c r="A173" t="n">
        <x:v>3402</x:v>
      </x:c>
      <x:c r="B173" t="str">
        <x:v>Core</x:v>
      </x:c>
      <x:c r="C173" s="10" t="n">
        <x:v>45519</x:v>
      </x:c>
      <x:c r="D173" t="str">
        <x:v>Sim</x:v>
      </x:c>
      <x:c r="E173" s="14" t="n">
        <x:v>5</x:v>
      </x:c>
      <x:c r="F173" t="str">
        <x:v>Trimestral</x:v>
      </x:c>
      <x:c r="G173" t="str">
        <x:v>Não</x:v>
      </x:c>
      <x:c r="H173" s="14" t="n">
        <x:v>0</x:v>
      </x:c>
      <x:c r="I173" t="str">
        <x:v>Não</x:v>
      </x:c>
      <x:c r="J173" s="14" t="n">
        <x:v>0</x:v>
      </x:c>
      <x:c r="K173" s="14" t="n">
        <x:v>0</x:v>
      </x:c>
      <x:c r="L173" s="14" t="n">
        <x:v>5</x:v>
      </x:c>
      <x:c r="M173" s="12" t="n">
        <x:f>DATE(YEAR(C173),MONTH(C173),1)</x:f>
        <x:v>45505</x:v>
      </x:c>
      <x:c r="N173" t="str">
        <x:f>IF(ABS(E173+H173+J173-K173-L173)&lt;0.001,"OK","REVER")</x:f>
        <x:v>OK</x:v>
      </x:c>
    </x:row>
    <x:row r="174" ht="22" customHeight="1">
      <x:c r="A174" t="n">
        <x:v>3403</x:v>
      </x:c>
      <x:c r="B174" t="str">
        <x:v>Ultimate</x:v>
      </x:c>
      <x:c r="C174" s="10" t="n">
        <x:v>45520</x:v>
      </x:c>
      <x:c r="D174" t="str">
        <x:v>Não</x:v>
      </x:c>
      <x:c r="E174" s="14" t="n">
        <x:v>15</x:v>
      </x:c>
      <x:c r="F174" t="str">
        <x:v>Mensal</x:v>
      </x:c>
      <x:c r="G174" t="str">
        <x:v>Sim</x:v>
      </x:c>
      <x:c r="H174" s="14" t="n">
        <x:v>30</x:v>
      </x:c>
      <x:c r="I174" t="str">
        <x:v>Sim</x:v>
      </x:c>
      <x:c r="J174" s="14" t="n">
        <x:v>20</x:v>
      </x:c>
      <x:c r="K174" s="14" t="n">
        <x:v>3</x:v>
      </x:c>
      <x:c r="L174" s="14" t="n">
        <x:v>62</x:v>
      </x:c>
      <x:c r="M174" s="12" t="n">
        <x:f>DATE(YEAR(C174),MONTH(C174),1)</x:f>
        <x:v>45505</x:v>
      </x:c>
      <x:c r="N174" t="str">
        <x:f>IF(ABS(E174+H174+J174-K174-L174)&lt;0.001,"OK","REVER")</x:f>
        <x:v>OK</x:v>
      </x:c>
    </x:row>
    <x:row r="175" ht="22" customHeight="1">
      <x:c r="A175" t="n">
        <x:v>3404</x:v>
      </x:c>
      <x:c r="B175" t="str">
        <x:v>Standard</x:v>
      </x:c>
      <x:c r="C175" s="10" t="n">
        <x:v>45521</x:v>
      </x:c>
      <x:c r="D175" t="str">
        <x:v>Sim</x:v>
      </x:c>
      <x:c r="E175" s="14" t="n">
        <x:v>10</x:v>
      </x:c>
      <x:c r="F175" t="str">
        <x:v>Anual</x:v>
      </x:c>
      <x:c r="G175" t="str">
        <x:v>Não</x:v>
      </x:c>
      <x:c r="H175" s="14" t="n">
        <x:v>0</x:v>
      </x:c>
      <x:c r="I175" t="str">
        <x:v>Sim</x:v>
      </x:c>
      <x:c r="J175" s="14" t="n">
        <x:v>20</x:v>
      </x:c>
      <x:c r="K175" s="14" t="n">
        <x:v>15</x:v>
      </x:c>
      <x:c r="L175" s="14" t="n">
        <x:v>15</x:v>
      </x:c>
      <x:c r="M175" s="12" t="n">
        <x:f>DATE(YEAR(C175),MONTH(C175),1)</x:f>
        <x:v>45505</x:v>
      </x:c>
      <x:c r="N175" t="str">
        <x:f>IF(ABS(E175+H175+J175-K175-L175)&lt;0.001,"OK","REVER")</x:f>
        <x:v>OK</x:v>
      </x:c>
    </x:row>
    <x:row r="176" ht="22" customHeight="1">
      <x:c r="A176" t="n">
        <x:v>3405</x:v>
      </x:c>
      <x:c r="B176" t="str">
        <x:v>Core</x:v>
      </x:c>
      <x:c r="C176" s="10" t="n">
        <x:v>45522</x:v>
      </x:c>
      <x:c r="D176" t="str">
        <x:v>Não</x:v>
      </x:c>
      <x:c r="E176" s="14" t="n">
        <x:v>5</x:v>
      </x:c>
      <x:c r="F176" t="str">
        <x:v>Mensal</x:v>
      </x:c>
      <x:c r="G176" t="str">
        <x:v>Não</x:v>
      </x:c>
      <x:c r="H176" s="14" t="n">
        <x:v>0</x:v>
      </x:c>
      <x:c r="I176" t="str">
        <x:v>Não</x:v>
      </x:c>
      <x:c r="J176" s="14" t="n">
        <x:v>0</x:v>
      </x:c>
      <x:c r="K176" s="14" t="n">
        <x:v>1</x:v>
      </x:c>
      <x:c r="L176" s="14" t="n">
        <x:v>4</x:v>
      </x:c>
      <x:c r="M176" s="12" t="n">
        <x:f>DATE(YEAR(C176),MONTH(C176),1)</x:f>
        <x:v>45505</x:v>
      </x:c>
      <x:c r="N176" t="str">
        <x:f>IF(ABS(E176+H176+J176-K176-L176)&lt;0.001,"OK","REVER")</x:f>
        <x:v>OK</x:v>
      </x:c>
    </x:row>
    <x:row r="177" ht="22" customHeight="1">
      <x:c r="A177" t="n">
        <x:v>3406</x:v>
      </x:c>
      <x:c r="B177" t="str">
        <x:v>Core</x:v>
      </x:c>
      <x:c r="C177" s="10" t="n">
        <x:v>45523</x:v>
      </x:c>
      <x:c r="D177" t="str">
        <x:v>Sim</x:v>
      </x:c>
      <x:c r="E177" s="14" t="n">
        <x:v>5</x:v>
      </x:c>
      <x:c r="F177" t="str">
        <x:v>Mensal</x:v>
      </x:c>
      <x:c r="G177" t="str">
        <x:v>Não</x:v>
      </x:c>
      <x:c r="H177" s="14" t="n">
        <x:v>0</x:v>
      </x:c>
      <x:c r="I177" t="str">
        <x:v>Não</x:v>
      </x:c>
      <x:c r="J177" s="14" t="n">
        <x:v>0</x:v>
      </x:c>
      <x:c r="K177" s="14" t="n">
        <x:v>0</x:v>
      </x:c>
      <x:c r="L177" s="14" t="n">
        <x:v>5</x:v>
      </x:c>
      <x:c r="M177" s="12" t="n">
        <x:f>DATE(YEAR(C177),MONTH(C177),1)</x:f>
        <x:v>45505</x:v>
      </x:c>
      <x:c r="N177" t="str">
        <x:f>IF(ABS(E177+H177+J177-K177-L177)&lt;0.001,"OK","REVER")</x:f>
        <x:v>OK</x:v>
      </x:c>
    </x:row>
    <x:row r="178" ht="22" customHeight="1">
      <x:c r="A178" t="n">
        <x:v>3407</x:v>
      </x:c>
      <x:c r="B178" t="str">
        <x:v>Ultimate</x:v>
      </x:c>
      <x:c r="C178" s="10" t="n">
        <x:v>45524</x:v>
      </x:c>
      <x:c r="D178" t="str">
        <x:v>Não</x:v>
      </x:c>
      <x:c r="E178" s="14" t="n">
        <x:v>15</x:v>
      </x:c>
      <x:c r="F178" t="str">
        <x:v>Trimestral</x:v>
      </x:c>
      <x:c r="G178" t="str">
        <x:v>Sim</x:v>
      </x:c>
      <x:c r="H178" s="14" t="n">
        <x:v>30</x:v>
      </x:c>
      <x:c r="I178" t="str">
        <x:v>Sim</x:v>
      </x:c>
      <x:c r="J178" s="14" t="n">
        <x:v>20</x:v>
      </x:c>
      <x:c r="K178" s="14" t="n">
        <x:v>7</x:v>
      </x:c>
      <x:c r="L178" s="14" t="n">
        <x:v>58</x:v>
      </x:c>
      <x:c r="M178" s="12" t="n">
        <x:f>DATE(YEAR(C178),MONTH(C178),1)</x:f>
        <x:v>45505</x:v>
      </x:c>
      <x:c r="N178" t="str">
        <x:f>IF(ABS(E178+H178+J178-K178-L178)&lt;0.001,"OK","REVER")</x:f>
        <x:v>OK</x:v>
      </x:c>
    </x:row>
    <x:row r="179" ht="22" customHeight="1">
      <x:c r="A179" t="n">
        <x:v>3408</x:v>
      </x:c>
      <x:c r="B179" t="str">
        <x:v>Standard</x:v>
      </x:c>
      <x:c r="C179" s="10" t="n">
        <x:v>45525</x:v>
      </x:c>
      <x:c r="D179" t="str">
        <x:v>Sim</x:v>
      </x:c>
      <x:c r="E179" s="14" t="n">
        <x:v>10</x:v>
      </x:c>
      <x:c r="F179" t="str">
        <x:v>Anual</x:v>
      </x:c>
      <x:c r="G179" t="str">
        <x:v>Não</x:v>
      </x:c>
      <x:c r="H179" s="14" t="n">
        <x:v>0</x:v>
      </x:c>
      <x:c r="I179" t="str">
        <x:v>Sim</x:v>
      </x:c>
      <x:c r="J179" s="14" t="n">
        <x:v>20</x:v>
      </x:c>
      <x:c r="K179" s="14" t="n">
        <x:v>10</x:v>
      </x:c>
      <x:c r="L179" s="14" t="n">
        <x:v>20</x:v>
      </x:c>
      <x:c r="M179" s="12" t="n">
        <x:f>DATE(YEAR(C179),MONTH(C179),1)</x:f>
        <x:v>45505</x:v>
      </x:c>
      <x:c r="N179" t="str">
        <x:f>IF(ABS(E179+H179+J179-K179-L179)&lt;0.001,"OK","REVER")</x:f>
        <x:v>OK</x:v>
      </x:c>
    </x:row>
    <x:row r="180" ht="22" customHeight="1">
      <x:c r="A180" t="n">
        <x:v>3409</x:v>
      </x:c>
      <x:c r="B180" t="str">
        <x:v>Core</x:v>
      </x:c>
      <x:c r="C180" s="10" t="n">
        <x:v>45526</x:v>
      </x:c>
      <x:c r="D180" t="str">
        <x:v>Não</x:v>
      </x:c>
      <x:c r="E180" s="14" t="n">
        <x:v>5</x:v>
      </x:c>
      <x:c r="F180" t="str">
        <x:v>Trimestral</x:v>
      </x:c>
      <x:c r="G180" t="str">
        <x:v>Não</x:v>
      </x:c>
      <x:c r="H180" s="14" t="n">
        <x:v>0</x:v>
      </x:c>
      <x:c r="I180" t="str">
        <x:v>Não</x:v>
      </x:c>
      <x:c r="J180" s="14" t="n">
        <x:v>0</x:v>
      </x:c>
      <x:c r="K180" s="14" t="n">
        <x:v>1</x:v>
      </x:c>
      <x:c r="L180" s="14" t="n">
        <x:v>4</x:v>
      </x:c>
      <x:c r="M180" s="12" t="n">
        <x:f>DATE(YEAR(C180),MONTH(C180),1)</x:f>
        <x:v>45505</x:v>
      </x:c>
      <x:c r="N180" t="str">
        <x:f>IF(ABS(E180+H180+J180-K180-L180)&lt;0.001,"OK","REVER")</x:f>
        <x:v>OK</x:v>
      </x:c>
    </x:row>
    <x:row r="181" ht="22" customHeight="1">
      <x:c r="A181" t="n">
        <x:v>3410</x:v>
      </x:c>
      <x:c r="B181" t="str">
        <x:v>Ultimate</x:v>
      </x:c>
      <x:c r="C181" s="10" t="n">
        <x:v>45527</x:v>
      </x:c>
      <x:c r="D181" t="str">
        <x:v>Sim</x:v>
      </x:c>
      <x:c r="E181" s="14" t="n">
        <x:v>15</x:v>
      </x:c>
      <x:c r="F181" t="str">
        <x:v>Mensal</x:v>
      </x:c>
      <x:c r="G181" t="str">
        <x:v>Sim</x:v>
      </x:c>
      <x:c r="H181" s="14" t="n">
        <x:v>30</x:v>
      </x:c>
      <x:c r="I181" t="str">
        <x:v>Sim</x:v>
      </x:c>
      <x:c r="J181" s="14" t="n">
        <x:v>20</x:v>
      </x:c>
      <x:c r="K181" s="14" t="n">
        <x:v>15</x:v>
      </x:c>
      <x:c r="L181" s="14" t="n">
        <x:v>50</x:v>
      </x:c>
      <x:c r="M181" s="12" t="n">
        <x:f>DATE(YEAR(C181),MONTH(C181),1)</x:f>
        <x:v>45505</x:v>
      </x:c>
      <x:c r="N181" t="str">
        <x:f>IF(ABS(E181+H181+J181-K181-L181)&lt;0.001,"OK","REVER")</x:f>
        <x:v>OK</x:v>
      </x:c>
    </x:row>
    <x:row r="182" ht="22" customHeight="1">
      <x:c r="A182" t="n">
        <x:v>3411</x:v>
      </x:c>
      <x:c r="B182" t="str">
        <x:v>Standard</x:v>
      </x:c>
      <x:c r="C182" s="10" t="n">
        <x:v>45528</x:v>
      </x:c>
      <x:c r="D182" t="str">
        <x:v>Não</x:v>
      </x:c>
      <x:c r="E182" s="14" t="n">
        <x:v>10</x:v>
      </x:c>
      <x:c r="F182" t="str">
        <x:v>Mensal</x:v>
      </x:c>
      <x:c r="G182" t="str">
        <x:v>Não</x:v>
      </x:c>
      <x:c r="H182" s="14" t="n">
        <x:v>0</x:v>
      </x:c>
      <x:c r="I182" t="str">
        <x:v>Sim</x:v>
      </x:c>
      <x:c r="J182" s="14" t="n">
        <x:v>20</x:v>
      </x:c>
      <x:c r="K182" s="14" t="n">
        <x:v>5</x:v>
      </x:c>
      <x:c r="L182" s="14" t="n">
        <x:v>25</x:v>
      </x:c>
      <x:c r="M182" s="12" t="n">
        <x:f>DATE(YEAR(C182),MONTH(C182),1)</x:f>
        <x:v>45505</x:v>
      </x:c>
      <x:c r="N182" t="str">
        <x:f>IF(ABS(E182+H182+J182-K182-L182)&lt;0.001,"OK","REVER")</x:f>
        <x:v>OK</x:v>
      </x:c>
    </x:row>
    <x:row r="183" ht="22" customHeight="1">
      <x:c r="A183" t="n">
        <x:v>3412</x:v>
      </x:c>
      <x:c r="B183" t="str">
        <x:v>Core</x:v>
      </x:c>
      <x:c r="C183" s="10" t="n">
        <x:v>45529</x:v>
      </x:c>
      <x:c r="D183" t="str">
        <x:v>Sim</x:v>
      </x:c>
      <x:c r="E183" s="14" t="n">
        <x:v>5</x:v>
      </x:c>
      <x:c r="F183" t="str">
        <x:v>Anual</x:v>
      </x:c>
      <x:c r="G183" t="str">
        <x:v>Não</x:v>
      </x:c>
      <x:c r="H183" s="14" t="n">
        <x:v>0</x:v>
      </x:c>
      <x:c r="I183" t="str">
        <x:v>Não</x:v>
      </x:c>
      <x:c r="J183" s="14" t="n">
        <x:v>0</x:v>
      </x:c>
      <x:c r="K183" s="14" t="n">
        <x:v>0</x:v>
      </x:c>
      <x:c r="L183" s="14" t="n">
        <x:v>5</x:v>
      </x:c>
      <x:c r="M183" s="12" t="n">
        <x:f>DATE(YEAR(C183),MONTH(C183),1)</x:f>
        <x:v>45505</x:v>
      </x:c>
      <x:c r="N183" t="str">
        <x:f>IF(ABS(E183+H183+J183-K183-L183)&lt;0.001,"OK","REVER")</x:f>
        <x:v>OK</x:v>
      </x:c>
    </x:row>
    <x:row r="184" ht="22" customHeight="1">
      <x:c r="A184" t="n">
        <x:v>3413</x:v>
      </x:c>
      <x:c r="B184" t="str">
        <x:v>Ultimate</x:v>
      </x:c>
      <x:c r="C184" s="10" t="n">
        <x:v>45530</x:v>
      </x:c>
      <x:c r="D184" t="str">
        <x:v>Não</x:v>
      </x:c>
      <x:c r="E184" s="14" t="n">
        <x:v>15</x:v>
      </x:c>
      <x:c r="F184" t="str">
        <x:v>Trimestral</x:v>
      </x:c>
      <x:c r="G184" t="str">
        <x:v>Sim</x:v>
      </x:c>
      <x:c r="H184" s="14" t="n">
        <x:v>30</x:v>
      </x:c>
      <x:c r="I184" t="str">
        <x:v>Sim</x:v>
      </x:c>
      <x:c r="J184" s="14" t="n">
        <x:v>20</x:v>
      </x:c>
      <x:c r="K184" s="14" t="n">
        <x:v>20</x:v>
      </x:c>
      <x:c r="L184" s="14" t="n">
        <x:v>45</x:v>
      </x:c>
      <x:c r="M184" s="12" t="n">
        <x:f>DATE(YEAR(C184),MONTH(C184),1)</x:f>
        <x:v>45505</x:v>
      </x:c>
      <x:c r="N184" t="str">
        <x:f>IF(ABS(E184+H184+J184-K184-L184)&lt;0.001,"OK","REVER")</x:f>
        <x:v>OK</x:v>
      </x:c>
    </x:row>
    <x:row r="185" ht="22" customHeight="1">
      <x:c r="A185" t="n">
        <x:v>3414</x:v>
      </x:c>
      <x:c r="B185" t="str">
        <x:v>Standard</x:v>
      </x:c>
      <x:c r="C185" s="10" t="n">
        <x:v>45531</x:v>
      </x:c>
      <x:c r="D185" t="str">
        <x:v>Sim</x:v>
      </x:c>
      <x:c r="E185" s="14" t="n">
        <x:v>10</x:v>
      </x:c>
      <x:c r="F185" t="str">
        <x:v>Trimestral</x:v>
      </x:c>
      <x:c r="G185" t="str">
        <x:v>Não</x:v>
      </x:c>
      <x:c r="H185" s="14" t="n">
        <x:v>0</x:v>
      </x:c>
      <x:c r="I185" t="str">
        <x:v>Sim</x:v>
      </x:c>
      <x:c r="J185" s="14" t="n">
        <x:v>20</x:v>
      </x:c>
      <x:c r="K185" s="14" t="n">
        <x:v>12</x:v>
      </x:c>
      <x:c r="L185" s="14" t="n">
        <x:v>18</x:v>
      </x:c>
      <x:c r="M185" s="12" t="n">
        <x:f>DATE(YEAR(C185),MONTH(C185),1)</x:f>
        <x:v>45505</x:v>
      </x:c>
      <x:c r="N185" t="str">
        <x:f>IF(ABS(E185+H185+J185-K185-L185)&lt;0.001,"OK","REVER")</x:f>
        <x:v>OK</x:v>
      </x:c>
    </x:row>
    <x:row r="186" ht="22" customHeight="1">
      <x:c r="A186" t="n">
        <x:v>3415</x:v>
      </x:c>
      <x:c r="B186" t="str">
        <x:v>Core</x:v>
      </x:c>
      <x:c r="C186" s="10" t="n">
        <x:v>45532</x:v>
      </x:c>
      <x:c r="D186" t="str">
        <x:v>Não</x:v>
      </x:c>
      <x:c r="E186" s="14" t="n">
        <x:v>5</x:v>
      </x:c>
      <x:c r="F186" t="str">
        <x:v>Mensal</x:v>
      </x:c>
      <x:c r="G186" t="str">
        <x:v>Não</x:v>
      </x:c>
      <x:c r="H186" s="14" t="n">
        <x:v>0</x:v>
      </x:c>
      <x:c r="I186" t="str">
        <x:v>Não</x:v>
      </x:c>
      <x:c r="J186" s="14" t="n">
        <x:v>0</x:v>
      </x:c>
      <x:c r="K186" s="14" t="n">
        <x:v>2</x:v>
      </x:c>
      <x:c r="L186" s="14" t="n">
        <x:v>3</x:v>
      </x:c>
      <x:c r="M186" s="12" t="n">
        <x:f>DATE(YEAR(C186),MONTH(C186),1)</x:f>
        <x:v>45505</x:v>
      </x:c>
      <x:c r="N186" t="str">
        <x:f>IF(ABS(E186+H186+J186-K186-L186)&lt;0.001,"OK","REVER")</x:f>
        <x:v>OK</x:v>
      </x:c>
    </x:row>
    <x:row r="187" ht="22" customHeight="1">
      <x:c r="A187" t="n">
        <x:v>3416</x:v>
      </x:c>
      <x:c r="B187" t="str">
        <x:v>Ultimate</x:v>
      </x:c>
      <x:c r="C187" s="10" t="n">
        <x:v>45533</x:v>
      </x:c>
      <x:c r="D187" t="str">
        <x:v>Sim</x:v>
      </x:c>
      <x:c r="E187" s="14" t="n">
        <x:v>15</x:v>
      </x:c>
      <x:c r="F187" t="str">
        <x:v>Anual</x:v>
      </x:c>
      <x:c r="G187" t="str">
        <x:v>Sim</x:v>
      </x:c>
      <x:c r="H187" s="14" t="n">
        <x:v>30</x:v>
      </x:c>
      <x:c r="I187" t="str">
        <x:v>Sim</x:v>
      </x:c>
      <x:c r="J187" s="14" t="n">
        <x:v>20</x:v>
      </x:c>
      <x:c r="K187" s="14" t="n">
        <x:v>5</x:v>
      </x:c>
      <x:c r="L187" s="14" t="n">
        <x:v>60</x:v>
      </x:c>
      <x:c r="M187" s="12" t="n">
        <x:f>DATE(YEAR(C187),MONTH(C187),1)</x:f>
        <x:v>45505</x:v>
      </x:c>
      <x:c r="N187" t="str">
        <x:f>IF(ABS(E187+H187+J187-K187-L187)&lt;0.001,"OK","REVER")</x:f>
        <x:v>OK</x:v>
      </x:c>
    </x:row>
    <x:row r="188" ht="22" customHeight="1">
      <x:c r="A188" t="n">
        <x:v>3417</x:v>
      </x:c>
      <x:c r="B188" t="str">
        <x:v>Standard</x:v>
      </x:c>
      <x:c r="C188" s="10" t="n">
        <x:v>45534</x:v>
      </x:c>
      <x:c r="D188" t="str">
        <x:v>Não</x:v>
      </x:c>
      <x:c r="E188" s="14" t="n">
        <x:v>10</x:v>
      </x:c>
      <x:c r="F188" t="str">
        <x:v>Mensal</x:v>
      </x:c>
      <x:c r="G188" t="str">
        <x:v>Não</x:v>
      </x:c>
      <x:c r="H188" s="14" t="n">
        <x:v>0</x:v>
      </x:c>
      <x:c r="I188" t="str">
        <x:v>Sim</x:v>
      </x:c>
      <x:c r="J188" s="14" t="n">
        <x:v>20</x:v>
      </x:c>
      <x:c r="K188" s="14" t="n">
        <x:v>10</x:v>
      </x:c>
      <x:c r="L188" s="14" t="n">
        <x:v>20</x:v>
      </x:c>
      <x:c r="M188" s="12" t="n">
        <x:f>DATE(YEAR(C188),MONTH(C188),1)</x:f>
        <x:v>45505</x:v>
      </x:c>
      <x:c r="N188" t="str">
        <x:f>IF(ABS(E188+H188+J188-K188-L188)&lt;0.001,"OK","REVER")</x:f>
        <x:v>OK</x:v>
      </x:c>
    </x:row>
    <x:row r="189" ht="22" customHeight="1">
      <x:c r="A189" t="n">
        <x:v>3418</x:v>
      </x:c>
      <x:c r="B189" t="str">
        <x:v>Core</x:v>
      </x:c>
      <x:c r="C189" s="10" t="n">
        <x:v>45535</x:v>
      </x:c>
      <x:c r="D189" t="str">
        <x:v>Sim</x:v>
      </x:c>
      <x:c r="E189" s="14" t="n">
        <x:v>5</x:v>
      </x:c>
      <x:c r="F189" t="str">
        <x:v>Trimestral</x:v>
      </x:c>
      <x:c r="G189" t="str">
        <x:v>Não</x:v>
      </x:c>
      <x:c r="H189" s="14" t="n">
        <x:v>0</x:v>
      </x:c>
      <x:c r="I189" t="str">
        <x:v>Não</x:v>
      </x:c>
      <x:c r="J189" s="14" t="n">
        <x:v>0</x:v>
      </x:c>
      <x:c r="K189" s="14" t="n">
        <x:v>0</x:v>
      </x:c>
      <x:c r="L189" s="14" t="n">
        <x:v>5</x:v>
      </x:c>
      <x:c r="M189" s="12" t="n">
        <x:f>DATE(YEAR(C189),MONTH(C189),1)</x:f>
        <x:v>45505</x:v>
      </x:c>
      <x:c r="N189" t="str">
        <x:f>IF(ABS(E189+H189+J189-K189-L189)&lt;0.001,"OK","REVER")</x:f>
        <x:v>OK</x:v>
      </x:c>
    </x:row>
    <x:row r="190" ht="22" customHeight="1">
      <x:c r="A190" t="n">
        <x:v>3419</x:v>
      </x:c>
      <x:c r="B190" t="str">
        <x:v>Ultimate</x:v>
      </x:c>
      <x:c r="C190" s="10" t="n">
        <x:v>45536</x:v>
      </x:c>
      <x:c r="D190" t="str">
        <x:v>Não</x:v>
      </x:c>
      <x:c r="E190" s="14" t="n">
        <x:v>15</x:v>
      </x:c>
      <x:c r="F190" t="str">
        <x:v>Mensal</x:v>
      </x:c>
      <x:c r="G190" t="str">
        <x:v>Sim</x:v>
      </x:c>
      <x:c r="H190" s="14" t="n">
        <x:v>30</x:v>
      </x:c>
      <x:c r="I190" t="str">
        <x:v>Sim</x:v>
      </x:c>
      <x:c r="J190" s="14" t="n">
        <x:v>20</x:v>
      </x:c>
      <x:c r="K190" s="14" t="n">
        <x:v>3</x:v>
      </x:c>
      <x:c r="L190" s="14" t="n">
        <x:v>62</x:v>
      </x:c>
      <x:c r="M190" s="12" t="n">
        <x:f>DATE(YEAR(C190),MONTH(C190),1)</x:f>
        <x:v>45536</x:v>
      </x:c>
      <x:c r="N190" t="str">
        <x:f>IF(ABS(E190+H190+J190-K190-L190)&lt;0.001,"OK","REVER")</x:f>
        <x:v>OK</x:v>
      </x:c>
    </x:row>
    <x:row r="191" ht="22" customHeight="1">
      <x:c r="A191" t="n">
        <x:v>3420</x:v>
      </x:c>
      <x:c r="B191" t="str">
        <x:v>Standard</x:v>
      </x:c>
      <x:c r="C191" s="10" t="n">
        <x:v>45537</x:v>
      </x:c>
      <x:c r="D191" t="str">
        <x:v>Sim</x:v>
      </x:c>
      <x:c r="E191" s="14" t="n">
        <x:v>10</x:v>
      </x:c>
      <x:c r="F191" t="str">
        <x:v>Anual</x:v>
      </x:c>
      <x:c r="G191" t="str">
        <x:v>Não</x:v>
      </x:c>
      <x:c r="H191" s="14" t="n">
        <x:v>0</x:v>
      </x:c>
      <x:c r="I191" t="str">
        <x:v>Sim</x:v>
      </x:c>
      <x:c r="J191" s="14" t="n">
        <x:v>20</x:v>
      </x:c>
      <x:c r="K191" s="14" t="n">
        <x:v>15</x:v>
      </x:c>
      <x:c r="L191" s="14" t="n">
        <x:v>15</x:v>
      </x:c>
      <x:c r="M191" s="12" t="n">
        <x:f>DATE(YEAR(C191),MONTH(C191),1)</x:f>
        <x:v>45536</x:v>
      </x:c>
      <x:c r="N191" t="str">
        <x:f>IF(ABS(E191+H191+J191-K191-L191)&lt;0.001,"OK","REVER")</x:f>
        <x:v>OK</x:v>
      </x:c>
    </x:row>
    <x:row r="192" ht="22" customHeight="1">
      <x:c r="A192" t="n">
        <x:v>3421</x:v>
      </x:c>
      <x:c r="B192" t="str">
        <x:v>Core</x:v>
      </x:c>
      <x:c r="C192" s="10" t="n">
        <x:v>45538</x:v>
      </x:c>
      <x:c r="D192" t="str">
        <x:v>Não</x:v>
      </x:c>
      <x:c r="E192" s="14" t="n">
        <x:v>5</x:v>
      </x:c>
      <x:c r="F192" t="str">
        <x:v>Mensal</x:v>
      </x:c>
      <x:c r="G192" t="str">
        <x:v>Não</x:v>
      </x:c>
      <x:c r="H192" s="14" t="n">
        <x:v>0</x:v>
      </x:c>
      <x:c r="I192" t="str">
        <x:v>Não</x:v>
      </x:c>
      <x:c r="J192" s="14" t="n">
        <x:v>0</x:v>
      </x:c>
      <x:c r="K192" s="14" t="n">
        <x:v>1</x:v>
      </x:c>
      <x:c r="L192" s="14" t="n">
        <x:v>4</x:v>
      </x:c>
      <x:c r="M192" s="12" t="n">
        <x:f>DATE(YEAR(C192),MONTH(C192),1)</x:f>
        <x:v>45536</x:v>
      </x:c>
      <x:c r="N192" t="str">
        <x:f>IF(ABS(E192+H192+J192-K192-L192)&lt;0.001,"OK","REVER")</x:f>
        <x:v>OK</x:v>
      </x:c>
    </x:row>
    <x:row r="193" ht="22" customHeight="1">
      <x:c r="A193" t="n">
        <x:v>3422</x:v>
      </x:c>
      <x:c r="B193" t="str">
        <x:v>Ultimate</x:v>
      </x:c>
      <x:c r="C193" s="10" t="n">
        <x:v>45539</x:v>
      </x:c>
      <x:c r="D193" t="str">
        <x:v>Sim</x:v>
      </x:c>
      <x:c r="E193" s="14" t="n">
        <x:v>15</x:v>
      </x:c>
      <x:c r="F193" t="str">
        <x:v>Trimestral</x:v>
      </x:c>
      <x:c r="G193" t="str">
        <x:v>Sim</x:v>
      </x:c>
      <x:c r="H193" s="14" t="n">
        <x:v>30</x:v>
      </x:c>
      <x:c r="I193" t="str">
        <x:v>Sim</x:v>
      </x:c>
      <x:c r="J193" s="14" t="n">
        <x:v>20</x:v>
      </x:c>
      <x:c r="K193" s="14" t="n">
        <x:v>7</x:v>
      </x:c>
      <x:c r="L193" s="14" t="n">
        <x:v>58</x:v>
      </x:c>
      <x:c r="M193" s="12" t="n">
        <x:f>DATE(YEAR(C193),MONTH(C193),1)</x:f>
        <x:v>45536</x:v>
      </x:c>
      <x:c r="N193" t="str">
        <x:f>IF(ABS(E193+H193+J193-K193-L193)&lt;0.001,"OK","REVER")</x:f>
        <x:v>OK</x:v>
      </x:c>
    </x:row>
    <x:row r="194" ht="22" customHeight="1">
      <x:c r="A194" t="n">
        <x:v>3423</x:v>
      </x:c>
      <x:c r="B194" t="str">
        <x:v>Standard</x:v>
      </x:c>
      <x:c r="C194" s="10" t="n">
        <x:v>45540</x:v>
      </x:c>
      <x:c r="D194" t="str">
        <x:v>Não</x:v>
      </x:c>
      <x:c r="E194" s="14" t="n">
        <x:v>10</x:v>
      </x:c>
      <x:c r="F194" t="str">
        <x:v>Mensal</x:v>
      </x:c>
      <x:c r="G194" t="str">
        <x:v>Não</x:v>
      </x:c>
      <x:c r="H194" s="14" t="n">
        <x:v>0</x:v>
      </x:c>
      <x:c r="I194" t="str">
        <x:v>Sim</x:v>
      </x:c>
      <x:c r="J194" s="14" t="n">
        <x:v>20</x:v>
      </x:c>
      <x:c r="K194" s="14" t="n">
        <x:v>10</x:v>
      </x:c>
      <x:c r="L194" s="14" t="n">
        <x:v>20</x:v>
      </x:c>
      <x:c r="M194" s="12" t="n">
        <x:f>DATE(YEAR(C194),MONTH(C194),1)</x:f>
        <x:v>45536</x:v>
      </x:c>
      <x:c r="N194" t="str">
        <x:f>IF(ABS(E194+H194+J194-K194-L194)&lt;0.001,"OK","REVER")</x:f>
        <x:v>OK</x:v>
      </x:c>
    </x:row>
    <x:row r="195" ht="22" customHeight="1">
      <x:c r="A195" t="n">
        <x:v>3424</x:v>
      </x:c>
      <x:c r="B195" t="str">
        <x:v>Core</x:v>
      </x:c>
      <x:c r="C195" s="10" t="n">
        <x:v>45541</x:v>
      </x:c>
      <x:c r="D195" t="str">
        <x:v>Sim</x:v>
      </x:c>
      <x:c r="E195" s="14" t="n">
        <x:v>5</x:v>
      </x:c>
      <x:c r="F195" t="str">
        <x:v>Anual</x:v>
      </x:c>
      <x:c r="G195" t="str">
        <x:v>Não</x:v>
      </x:c>
      <x:c r="H195" s="14" t="n">
        <x:v>0</x:v>
      </x:c>
      <x:c r="I195" t="str">
        <x:v>Não</x:v>
      </x:c>
      <x:c r="J195" s="14" t="n">
        <x:v>0</x:v>
      </x:c>
      <x:c r="K195" s="14" t="n">
        <x:v>0</x:v>
      </x:c>
      <x:c r="L195" s="14" t="n">
        <x:v>5</x:v>
      </x:c>
      <x:c r="M195" s="12" t="n">
        <x:f>DATE(YEAR(C195),MONTH(C195),1)</x:f>
        <x:v>45536</x:v>
      </x:c>
      <x:c r="N195" t="str">
        <x:f>IF(ABS(E195+H195+J195-K195-L195)&lt;0.001,"OK","REVER")</x:f>
        <x:v>OK</x:v>
      </x:c>
    </x:row>
    <x:row r="196" ht="22" customHeight="1">
      <x:c r="A196" t="n">
        <x:v>3425</x:v>
      </x:c>
      <x:c r="B196" t="str">
        <x:v>Ultimate</x:v>
      </x:c>
      <x:c r="C196" s="10" t="n">
        <x:v>45542</x:v>
      </x:c>
      <x:c r="D196" t="str">
        <x:v>Não</x:v>
      </x:c>
      <x:c r="E196" s="14" t="n">
        <x:v>15</x:v>
      </x:c>
      <x:c r="F196" t="str">
        <x:v>Mensal</x:v>
      </x:c>
      <x:c r="G196" t="str">
        <x:v>Sim</x:v>
      </x:c>
      <x:c r="H196" s="14" t="n">
        <x:v>30</x:v>
      </x:c>
      <x:c r="I196" t="str">
        <x:v>Sim</x:v>
      </x:c>
      <x:c r="J196" s="14" t="n">
        <x:v>20</x:v>
      </x:c>
      <x:c r="K196" s="14" t="n">
        <x:v>20</x:v>
      </x:c>
      <x:c r="L196" s="14" t="n">
        <x:v>45</x:v>
      </x:c>
      <x:c r="M196" s="12" t="n">
        <x:f>DATE(YEAR(C196),MONTH(C196),1)</x:f>
        <x:v>45536</x:v>
      </x:c>
      <x:c r="N196" t="str">
        <x:f>IF(ABS(E196+H196+J196-K196-L196)&lt;0.001,"OK","REVER")</x:f>
        <x:v>OK</x:v>
      </x:c>
    </x:row>
    <x:row r="197" ht="22" customHeight="1">
      <x:c r="A197" t="n">
        <x:v>3426</x:v>
      </x:c>
      <x:c r="B197" t="str">
        <x:v>Standard</x:v>
      </x:c>
      <x:c r="C197" s="10" t="n">
        <x:v>45543</x:v>
      </x:c>
      <x:c r="D197" t="str">
        <x:v>Sim</x:v>
      </x:c>
      <x:c r="E197" s="14" t="n">
        <x:v>10</x:v>
      </x:c>
      <x:c r="F197" t="str">
        <x:v>Trimestral</x:v>
      </x:c>
      <x:c r="G197" t="str">
        <x:v>Não</x:v>
      </x:c>
      <x:c r="H197" s="14" t="n">
        <x:v>0</x:v>
      </x:c>
      <x:c r="I197" t="str">
        <x:v>Sim</x:v>
      </x:c>
      <x:c r="J197" s="14" t="n">
        <x:v>20</x:v>
      </x:c>
      <x:c r="K197" s="14" t="n">
        <x:v>15</x:v>
      </x:c>
      <x:c r="L197" s="14" t="n">
        <x:v>15</x:v>
      </x:c>
      <x:c r="M197" s="12" t="n">
        <x:f>DATE(YEAR(C197),MONTH(C197),1)</x:f>
        <x:v>45536</x:v>
      </x:c>
      <x:c r="N197" t="str">
        <x:f>IF(ABS(E197+H197+J197-K197-L197)&lt;0.001,"OK","REVER")</x:f>
        <x:v>OK</x:v>
      </x:c>
    </x:row>
    <x:row r="198" ht="22" customHeight="1">
      <x:c r="A198" t="n">
        <x:v>3427</x:v>
      </x:c>
      <x:c r="B198" t="str">
        <x:v>Core</x:v>
      </x:c>
      <x:c r="C198" s="10" t="n">
        <x:v>45544</x:v>
      </x:c>
      <x:c r="D198" t="str">
        <x:v>Não</x:v>
      </x:c>
      <x:c r="E198" s="14" t="n">
        <x:v>5</x:v>
      </x:c>
      <x:c r="F198" t="str">
        <x:v>Mensal</x:v>
      </x:c>
      <x:c r="G198" t="str">
        <x:v>Não</x:v>
      </x:c>
      <x:c r="H198" s="14" t="n">
        <x:v>0</x:v>
      </x:c>
      <x:c r="I198" t="str">
        <x:v>Não</x:v>
      </x:c>
      <x:c r="J198" s="14" t="n">
        <x:v>0</x:v>
      </x:c>
      <x:c r="K198" s="14" t="n">
        <x:v>1</x:v>
      </x:c>
      <x:c r="L198" s="14" t="n">
        <x:v>4</x:v>
      </x:c>
      <x:c r="M198" s="12" t="n">
        <x:f>DATE(YEAR(C198),MONTH(C198),1)</x:f>
        <x:v>45536</x:v>
      </x:c>
      <x:c r="N198" t="str">
        <x:f>IF(ABS(E198+H198+J198-K198-L198)&lt;0.001,"OK","REVER")</x:f>
        <x:v>OK</x:v>
      </x:c>
    </x:row>
    <x:row r="199" ht="22" customHeight="1">
      <x:c r="A199" t="n">
        <x:v>3428</x:v>
      </x:c>
      <x:c r="B199" t="str">
        <x:v>Ultimate</x:v>
      </x:c>
      <x:c r="C199" s="10" t="n">
        <x:v>45545</x:v>
      </x:c>
      <x:c r="D199" t="str">
        <x:v>Sim</x:v>
      </x:c>
      <x:c r="E199" s="14" t="n">
        <x:v>15</x:v>
      </x:c>
      <x:c r="F199" t="str">
        <x:v>Anual</x:v>
      </x:c>
      <x:c r="G199" t="str">
        <x:v>Sim</x:v>
      </x:c>
      <x:c r="H199" s="14" t="n">
        <x:v>30</x:v>
      </x:c>
      <x:c r="I199" t="str">
        <x:v>Sim</x:v>
      </x:c>
      <x:c r="J199" s="14" t="n">
        <x:v>20</x:v>
      </x:c>
      <x:c r="K199" s="14" t="n">
        <x:v>3</x:v>
      </x:c>
      <x:c r="L199" s="14" t="n">
        <x:v>62</x:v>
      </x:c>
      <x:c r="M199" s="12" t="n">
        <x:f>DATE(YEAR(C199),MONTH(C199),1)</x:f>
        <x:v>45536</x:v>
      </x:c>
      <x:c r="N199" t="str">
        <x:f>IF(ABS(E199+H199+J199-K199-L199)&lt;0.001,"OK","REVER")</x:f>
        <x:v>OK</x:v>
      </x:c>
    </x:row>
    <x:row r="200" ht="22" customHeight="1">
      <x:c r="A200" t="n">
        <x:v>3429</x:v>
      </x:c>
      <x:c r="B200" t="str">
        <x:v>Standard</x:v>
      </x:c>
      <x:c r="C200" s="10" t="n">
        <x:v>45546</x:v>
      </x:c>
      <x:c r="D200" t="str">
        <x:v>Não</x:v>
      </x:c>
      <x:c r="E200" s="14" t="n">
        <x:v>10</x:v>
      </x:c>
      <x:c r="F200" t="str">
        <x:v>Mensal</x:v>
      </x:c>
      <x:c r="G200" t="str">
        <x:v>Não</x:v>
      </x:c>
      <x:c r="H200" s="14" t="n">
        <x:v>0</x:v>
      </x:c>
      <x:c r="I200" t="str">
        <x:v>Sim</x:v>
      </x:c>
      <x:c r="J200" s="14" t="n">
        <x:v>20</x:v>
      </x:c>
      <x:c r="K200" s="14" t="n">
        <x:v>10</x:v>
      </x:c>
      <x:c r="L200" s="14" t="n">
        <x:v>20</x:v>
      </x:c>
      <x:c r="M200" s="12" t="n">
        <x:f>DATE(YEAR(C200),MONTH(C200),1)</x:f>
        <x:v>45536</x:v>
      </x:c>
      <x:c r="N200" t="str">
        <x:f>IF(ABS(E200+H200+J200-K200-L200)&lt;0.001,"OK","REVER")</x:f>
        <x:v>OK</x:v>
      </x:c>
    </x:row>
    <x:row r="201" ht="22" customHeight="1">
      <x:c r="A201" t="n">
        <x:v>3430</x:v>
      </x:c>
      <x:c r="B201" t="str">
        <x:v>Core</x:v>
      </x:c>
      <x:c r="C201" s="10" t="n">
        <x:v>45547</x:v>
      </x:c>
      <x:c r="D201" t="str">
        <x:v>Sim</x:v>
      </x:c>
      <x:c r="E201" s="14" t="n">
        <x:v>5</x:v>
      </x:c>
      <x:c r="F201" t="str">
        <x:v>Trimestral</x:v>
      </x:c>
      <x:c r="G201" t="str">
        <x:v>Não</x:v>
      </x:c>
      <x:c r="H201" s="14" t="n">
        <x:v>0</x:v>
      </x:c>
      <x:c r="I201" t="str">
        <x:v>Não</x:v>
      </x:c>
      <x:c r="J201" s="14" t="n">
        <x:v>0</x:v>
      </x:c>
      <x:c r="K201" s="14" t="n">
        <x:v>0</x:v>
      </x:c>
      <x:c r="L201" s="14" t="n">
        <x:v>5</x:v>
      </x:c>
      <x:c r="M201" s="12" t="n">
        <x:f>DATE(YEAR(C201),MONTH(C201),1)</x:f>
        <x:v>45536</x:v>
      </x:c>
      <x:c r="N201" t="str">
        <x:f>IF(ABS(E201+H201+J201-K201-L201)&lt;0.001,"OK","REVER")</x:f>
        <x:v>OK</x:v>
      </x:c>
    </x:row>
    <x:row r="202" ht="22" customHeight="1">
      <x:c r="A202" t="n">
        <x:v>3431</x:v>
      </x:c>
      <x:c r="B202" t="str">
        <x:v>Ultimate</x:v>
      </x:c>
      <x:c r="C202" s="10" t="n">
        <x:v>45548</x:v>
      </x:c>
      <x:c r="D202" t="str">
        <x:v>Não</x:v>
      </x:c>
      <x:c r="E202" s="14" t="n">
        <x:v>15</x:v>
      </x:c>
      <x:c r="F202" t="str">
        <x:v>Mensal</x:v>
      </x:c>
      <x:c r="G202" t="str">
        <x:v>Sim</x:v>
      </x:c>
      <x:c r="H202" s="14" t="n">
        <x:v>30</x:v>
      </x:c>
      <x:c r="I202" t="str">
        <x:v>Sim</x:v>
      </x:c>
      <x:c r="J202" s="14" t="n">
        <x:v>20</x:v>
      </x:c>
      <x:c r="K202" s="14" t="n">
        <x:v>15</x:v>
      </x:c>
      <x:c r="L202" s="14" t="n">
        <x:v>50</x:v>
      </x:c>
      <x:c r="M202" s="12" t="n">
        <x:f>DATE(YEAR(C202),MONTH(C202),1)</x:f>
        <x:v>45536</x:v>
      </x:c>
      <x:c r="N202" t="str">
        <x:f>IF(ABS(E202+H202+J202-K202-L202)&lt;0.001,"OK","REVER")</x:f>
        <x:v>OK</x:v>
      </x:c>
    </x:row>
    <x:row r="203" ht="22" customHeight="1">
      <x:c r="A203" t="n">
        <x:v>3432</x:v>
      </x:c>
      <x:c r="B203" t="str">
        <x:v>Standard</x:v>
      </x:c>
      <x:c r="C203" s="10" t="n">
        <x:v>45549</x:v>
      </x:c>
      <x:c r="D203" t="str">
        <x:v>Sim</x:v>
      </x:c>
      <x:c r="E203" s="14" t="n">
        <x:v>10</x:v>
      </x:c>
      <x:c r="F203" t="str">
        <x:v>Anual</x:v>
      </x:c>
      <x:c r="G203" t="str">
        <x:v>Não</x:v>
      </x:c>
      <x:c r="H203" s="14" t="n">
        <x:v>0</x:v>
      </x:c>
      <x:c r="I203" t="str">
        <x:v>Sim</x:v>
      </x:c>
      <x:c r="J203" s="14" t="n">
        <x:v>20</x:v>
      </x:c>
      <x:c r="K203" s="14" t="n">
        <x:v>15</x:v>
      </x:c>
      <x:c r="L203" s="14" t="n">
        <x:v>15</x:v>
      </x:c>
      <x:c r="M203" s="12" t="n">
        <x:f>DATE(YEAR(C203),MONTH(C203),1)</x:f>
        <x:v>45536</x:v>
      </x:c>
      <x:c r="N203" t="str">
        <x:f>IF(ABS(E203+H203+J203-K203-L203)&lt;0.001,"OK","REVER")</x:f>
        <x:v>OK</x:v>
      </x:c>
    </x:row>
    <x:row r="204" ht="22" customHeight="1">
      <x:c r="A204" t="n">
        <x:v>3433</x:v>
      </x:c>
      <x:c r="B204" t="str">
        <x:v>Core</x:v>
      </x:c>
      <x:c r="C204" s="10" t="n">
        <x:v>45550</x:v>
      </x:c>
      <x:c r="D204" t="str">
        <x:v>Não</x:v>
      </x:c>
      <x:c r="E204" s="14" t="n">
        <x:v>5</x:v>
      </x:c>
      <x:c r="F204" t="str">
        <x:v>Mensal</x:v>
      </x:c>
      <x:c r="G204" t="str">
        <x:v>Não</x:v>
      </x:c>
      <x:c r="H204" s="14" t="n">
        <x:v>0</x:v>
      </x:c>
      <x:c r="I204" t="str">
        <x:v>Não</x:v>
      </x:c>
      <x:c r="J204" s="14" t="n">
        <x:v>0</x:v>
      </x:c>
      <x:c r="K204" s="14" t="n">
        <x:v>1</x:v>
      </x:c>
      <x:c r="L204" s="14" t="n">
        <x:v>4</x:v>
      </x:c>
      <x:c r="M204" s="12" t="n">
        <x:f>DATE(YEAR(C204),MONTH(C204),1)</x:f>
        <x:v>45536</x:v>
      </x:c>
      <x:c r="N204" t="str">
        <x:f>IF(ABS(E204+H204+J204-K204-L204)&lt;0.001,"OK","REVER")</x:f>
        <x:v>OK</x:v>
      </x:c>
    </x:row>
    <x:row r="205" ht="22" customHeight="1">
      <x:c r="A205" t="n">
        <x:v>3434</x:v>
      </x:c>
      <x:c r="B205" t="str">
        <x:v>Ultimate</x:v>
      </x:c>
      <x:c r="C205" s="10" t="n">
        <x:v>45551</x:v>
      </x:c>
      <x:c r="D205" t="str">
        <x:v>Sim</x:v>
      </x:c>
      <x:c r="E205" s="14" t="n">
        <x:v>15</x:v>
      </x:c>
      <x:c r="F205" t="str">
        <x:v>Trimestral</x:v>
      </x:c>
      <x:c r="G205" t="str">
        <x:v>Sim</x:v>
      </x:c>
      <x:c r="H205" s="14" t="n">
        <x:v>30</x:v>
      </x:c>
      <x:c r="I205" t="str">
        <x:v>Sim</x:v>
      </x:c>
      <x:c r="J205" s="14" t="n">
        <x:v>20</x:v>
      </x:c>
      <x:c r="K205" s="14" t="n">
        <x:v>7</x:v>
      </x:c>
      <x:c r="L205" s="14" t="n">
        <x:v>58</x:v>
      </x:c>
      <x:c r="M205" s="12" t="n">
        <x:f>DATE(YEAR(C205),MONTH(C205),1)</x:f>
        <x:v>45536</x:v>
      </x:c>
      <x:c r="N205" t="str">
        <x:f>IF(ABS(E205+H205+J205-K205-L205)&lt;0.001,"OK","REVER")</x:f>
        <x:v>OK</x:v>
      </x:c>
    </x:row>
    <x:row r="206" ht="22" customHeight="1">
      <x:c r="A206" t="n">
        <x:v>3435</x:v>
      </x:c>
      <x:c r="B206" t="str">
        <x:v>Standard</x:v>
      </x:c>
      <x:c r="C206" s="10" t="n">
        <x:v>45552</x:v>
      </x:c>
      <x:c r="D206" t="str">
        <x:v>Não</x:v>
      </x:c>
      <x:c r="E206" s="14" t="n">
        <x:v>10</x:v>
      </x:c>
      <x:c r="F206" t="str">
        <x:v>Mensal</x:v>
      </x:c>
      <x:c r="G206" t="str">
        <x:v>Não</x:v>
      </x:c>
      <x:c r="H206" s="14" t="n">
        <x:v>0</x:v>
      </x:c>
      <x:c r="I206" t="str">
        <x:v>Sim</x:v>
      </x:c>
      <x:c r="J206" s="14" t="n">
        <x:v>20</x:v>
      </x:c>
      <x:c r="K206" s="14" t="n">
        <x:v>10</x:v>
      </x:c>
      <x:c r="L206" s="14" t="n">
        <x:v>20</x:v>
      </x:c>
      <x:c r="M206" s="12" t="n">
        <x:f>DATE(YEAR(C206),MONTH(C206),1)</x:f>
        <x:v>45536</x:v>
      </x:c>
      <x:c r="N206" t="str">
        <x:f>IF(ABS(E206+H206+J206-K206-L206)&lt;0.001,"OK","REVER")</x:f>
        <x:v>OK</x:v>
      </x:c>
    </x:row>
    <x:row r="207" ht="22" customHeight="1">
      <x:c r="A207" t="n">
        <x:v>3436</x:v>
      </x:c>
      <x:c r="B207" t="str">
        <x:v>Core</x:v>
      </x:c>
      <x:c r="C207" s="10" t="n">
        <x:v>45553</x:v>
      </x:c>
      <x:c r="D207" t="str">
        <x:v>Sim</x:v>
      </x:c>
      <x:c r="E207" s="14" t="n">
        <x:v>5</x:v>
      </x:c>
      <x:c r="F207" t="str">
        <x:v>Mensal</x:v>
      </x:c>
      <x:c r="G207" t="str">
        <x:v>Não</x:v>
      </x:c>
      <x:c r="H207" s="14" t="n">
        <x:v>0</x:v>
      </x:c>
      <x:c r="I207" t="str">
        <x:v>Não</x:v>
      </x:c>
      <x:c r="J207" s="14" t="n">
        <x:v>0</x:v>
      </x:c>
      <x:c r="K207" s="14" t="n">
        <x:v>0</x:v>
      </x:c>
      <x:c r="L207" s="14" t="n">
        <x:v>5</x:v>
      </x:c>
      <x:c r="M207" s="12" t="n">
        <x:f>DATE(YEAR(C207),MONTH(C207),1)</x:f>
        <x:v>45536</x:v>
      </x:c>
      <x:c r="N207" t="str">
        <x:f>IF(ABS(E207+H207+J207-K207-L207)&lt;0.001,"OK","REVER")</x:f>
        <x:v>OK</x:v>
      </x:c>
    </x:row>
    <x:row r="208" ht="22" customHeight="1">
      <x:c r="A208" t="n">
        <x:v>3437</x:v>
      </x:c>
      <x:c r="B208" t="str">
        <x:v>Ultimate</x:v>
      </x:c>
      <x:c r="C208" s="10" t="n">
        <x:v>45554</x:v>
      </x:c>
      <x:c r="D208" t="str">
        <x:v>Não</x:v>
      </x:c>
      <x:c r="E208" s="14" t="n">
        <x:v>15</x:v>
      </x:c>
      <x:c r="F208" t="str">
        <x:v>Trimestral</x:v>
      </x:c>
      <x:c r="G208" t="str">
        <x:v>Sim</x:v>
      </x:c>
      <x:c r="H208" s="14" t="n">
        <x:v>30</x:v>
      </x:c>
      <x:c r="I208" t="str">
        <x:v>Sim</x:v>
      </x:c>
      <x:c r="J208" s="14" t="n">
        <x:v>20</x:v>
      </x:c>
      <x:c r="K208" s="14" t="n">
        <x:v>7</x:v>
      </x:c>
      <x:c r="L208" s="14" t="n">
        <x:v>58</x:v>
      </x:c>
      <x:c r="M208" s="12" t="n">
        <x:f>DATE(YEAR(C208),MONTH(C208),1)</x:f>
        <x:v>45536</x:v>
      </x:c>
      <x:c r="N208" t="str">
        <x:f>IF(ABS(E208+H208+J208-K208-L208)&lt;0.001,"OK","REVER")</x:f>
        <x:v>OK</x:v>
      </x:c>
    </x:row>
    <x:row r="209" ht="22" customHeight="1">
      <x:c r="A209" t="n">
        <x:v>3438</x:v>
      </x:c>
      <x:c r="B209" t="str">
        <x:v>Standard</x:v>
      </x:c>
      <x:c r="C209" s="10" t="n">
        <x:v>45555</x:v>
      </x:c>
      <x:c r="D209" t="str">
        <x:v>Sim</x:v>
      </x:c>
      <x:c r="E209" s="14" t="n">
        <x:v>10</x:v>
      </x:c>
      <x:c r="F209" t="str">
        <x:v>Anual</x:v>
      </x:c>
      <x:c r="G209" t="str">
        <x:v>Não</x:v>
      </x:c>
      <x:c r="H209" s="14" t="n">
        <x:v>0</x:v>
      </x:c>
      <x:c r="I209" t="str">
        <x:v>Sim</x:v>
      </x:c>
      <x:c r="J209" s="14" t="n">
        <x:v>20</x:v>
      </x:c>
      <x:c r="K209" s="14" t="n">
        <x:v>10</x:v>
      </x:c>
      <x:c r="L209" s="14" t="n">
        <x:v>20</x:v>
      </x:c>
      <x:c r="M209" s="12" t="n">
        <x:f>DATE(YEAR(C209),MONTH(C209),1)</x:f>
        <x:v>45536</x:v>
      </x:c>
      <x:c r="N209" t="str">
        <x:f>IF(ABS(E209+H209+J209-K209-L209)&lt;0.001,"OK","REVER")</x:f>
        <x:v>OK</x:v>
      </x:c>
    </x:row>
    <x:row r="210" ht="22" customHeight="1">
      <x:c r="A210" t="n">
        <x:v>3439</x:v>
      </x:c>
      <x:c r="B210" t="str">
        <x:v>Core</x:v>
      </x:c>
      <x:c r="C210" s="10" t="n">
        <x:v>45556</x:v>
      </x:c>
      <x:c r="D210" t="str">
        <x:v>Não</x:v>
      </x:c>
      <x:c r="E210" s="14" t="n">
        <x:v>5</x:v>
      </x:c>
      <x:c r="F210" t="str">
        <x:v>Trimestral</x:v>
      </x:c>
      <x:c r="G210" t="str">
        <x:v>Não</x:v>
      </x:c>
      <x:c r="H210" s="14" t="n">
        <x:v>0</x:v>
      </x:c>
      <x:c r="I210" t="str">
        <x:v>Não</x:v>
      </x:c>
      <x:c r="J210" s="14" t="n">
        <x:v>0</x:v>
      </x:c>
      <x:c r="K210" s="14" t="n">
        <x:v>1</x:v>
      </x:c>
      <x:c r="L210" s="14" t="n">
        <x:v>4</x:v>
      </x:c>
      <x:c r="M210" s="12" t="n">
        <x:f>DATE(YEAR(C210),MONTH(C210),1)</x:f>
        <x:v>45536</x:v>
      </x:c>
      <x:c r="N210" t="str">
        <x:f>IF(ABS(E210+H210+J210-K210-L210)&lt;0.001,"OK","REVER")</x:f>
        <x:v>OK</x:v>
      </x:c>
    </x:row>
    <x:row r="211" ht="22" customHeight="1">
      <x:c r="A211" t="n">
        <x:v>3440</x:v>
      </x:c>
      <x:c r="B211" t="str">
        <x:v>Ultimate</x:v>
      </x:c>
      <x:c r="C211" s="10" t="n">
        <x:v>45557</x:v>
      </x:c>
      <x:c r="D211" t="str">
        <x:v>Sim</x:v>
      </x:c>
      <x:c r="E211" s="14" t="n">
        <x:v>15</x:v>
      </x:c>
      <x:c r="F211" t="str">
        <x:v>Mensal</x:v>
      </x:c>
      <x:c r="G211" t="str">
        <x:v>Sim</x:v>
      </x:c>
      <x:c r="H211" s="14" t="n">
        <x:v>30</x:v>
      </x:c>
      <x:c r="I211" t="str">
        <x:v>Sim</x:v>
      </x:c>
      <x:c r="J211" s="14" t="n">
        <x:v>20</x:v>
      </x:c>
      <x:c r="K211" s="14" t="n">
        <x:v>15</x:v>
      </x:c>
      <x:c r="L211" s="14" t="n">
        <x:v>50</x:v>
      </x:c>
      <x:c r="M211" s="12" t="n">
        <x:f>DATE(YEAR(C211),MONTH(C211),1)</x:f>
        <x:v>45536</x:v>
      </x:c>
      <x:c r="N211" t="str">
        <x:f>IF(ABS(E211+H211+J211-K211-L211)&lt;0.001,"OK","REVER")</x:f>
        <x:v>OK</x:v>
      </x:c>
    </x:row>
    <x:row r="212" ht="22" customHeight="1">
      <x:c r="A212" t="n">
        <x:v>3441</x:v>
      </x:c>
      <x:c r="B212" t="str">
        <x:v>Standard</x:v>
      </x:c>
      <x:c r="C212" s="10" t="n">
        <x:v>45558</x:v>
      </x:c>
      <x:c r="D212" t="str">
        <x:v>Não</x:v>
      </x:c>
      <x:c r="E212" s="14" t="n">
        <x:v>10</x:v>
      </x:c>
      <x:c r="F212" t="str">
        <x:v>Mensal</x:v>
      </x:c>
      <x:c r="G212" t="str">
        <x:v>Não</x:v>
      </x:c>
      <x:c r="H212" s="14" t="n">
        <x:v>0</x:v>
      </x:c>
      <x:c r="I212" t="str">
        <x:v>Sim</x:v>
      </x:c>
      <x:c r="J212" s="14" t="n">
        <x:v>20</x:v>
      </x:c>
      <x:c r="K212" s="14" t="n">
        <x:v>5</x:v>
      </x:c>
      <x:c r="L212" s="14" t="n">
        <x:v>25</x:v>
      </x:c>
      <x:c r="M212" s="12" t="n">
        <x:f>DATE(YEAR(C212),MONTH(C212),1)</x:f>
        <x:v>45536</x:v>
      </x:c>
      <x:c r="N212" t="str">
        <x:f>IF(ABS(E212+H212+J212-K212-L212)&lt;0.001,"OK","REVER")</x:f>
        <x:v>OK</x:v>
      </x:c>
    </x:row>
    <x:row r="213" ht="22" customHeight="1">
      <x:c r="A213" t="n">
        <x:v>3442</x:v>
      </x:c>
      <x:c r="B213" t="str">
        <x:v>Core</x:v>
      </x:c>
      <x:c r="C213" s="10" t="n">
        <x:v>45559</x:v>
      </x:c>
      <x:c r="D213" t="str">
        <x:v>Sim</x:v>
      </x:c>
      <x:c r="E213" s="14" t="n">
        <x:v>5</x:v>
      </x:c>
      <x:c r="F213" t="str">
        <x:v>Anual</x:v>
      </x:c>
      <x:c r="G213" t="str">
        <x:v>Não</x:v>
      </x:c>
      <x:c r="H213" s="14" t="n">
        <x:v>0</x:v>
      </x:c>
      <x:c r="I213" t="str">
        <x:v>Não</x:v>
      </x:c>
      <x:c r="J213" s="14" t="n">
        <x:v>0</x:v>
      </x:c>
      <x:c r="K213" s="14" t="n">
        <x:v>0</x:v>
      </x:c>
      <x:c r="L213" s="14" t="n">
        <x:v>5</x:v>
      </x:c>
      <x:c r="M213" s="12" t="n">
        <x:f>DATE(YEAR(C213),MONTH(C213),1)</x:f>
        <x:v>45536</x:v>
      </x:c>
      <x:c r="N213" t="str">
        <x:f>IF(ABS(E213+H213+J213-K213-L213)&lt;0.001,"OK","REVER")</x:f>
        <x:v>OK</x:v>
      </x:c>
    </x:row>
    <x:row r="214" ht="22" customHeight="1">
      <x:c r="A214" t="n">
        <x:v>3443</x:v>
      </x:c>
      <x:c r="B214" t="str">
        <x:v>Ultimate</x:v>
      </x:c>
      <x:c r="C214" s="10" t="n">
        <x:v>45560</x:v>
      </x:c>
      <x:c r="D214" t="str">
        <x:v>Não</x:v>
      </x:c>
      <x:c r="E214" s="14" t="n">
        <x:v>15</x:v>
      </x:c>
      <x:c r="F214" t="str">
        <x:v>Trimestral</x:v>
      </x:c>
      <x:c r="G214" t="str">
        <x:v>Sim</x:v>
      </x:c>
      <x:c r="H214" s="14" t="n">
        <x:v>30</x:v>
      </x:c>
      <x:c r="I214" t="str">
        <x:v>Sim</x:v>
      </x:c>
      <x:c r="J214" s="14" t="n">
        <x:v>20</x:v>
      </x:c>
      <x:c r="K214" s="14" t="n">
        <x:v>20</x:v>
      </x:c>
      <x:c r="L214" s="14" t="n">
        <x:v>45</x:v>
      </x:c>
      <x:c r="M214" s="12" t="n">
        <x:f>DATE(YEAR(C214),MONTH(C214),1)</x:f>
        <x:v>45536</x:v>
      </x:c>
      <x:c r="N214" t="str">
        <x:f>IF(ABS(E214+H214+J214-K214-L214)&lt;0.001,"OK","REVER")</x:f>
        <x:v>OK</x:v>
      </x:c>
    </x:row>
    <x:row r="215" ht="22" customHeight="1">
      <x:c r="A215" t="n">
        <x:v>3444</x:v>
      </x:c>
      <x:c r="B215" t="str">
        <x:v>Standard</x:v>
      </x:c>
      <x:c r="C215" s="10" t="n">
        <x:v>45561</x:v>
      </x:c>
      <x:c r="D215" t="str">
        <x:v>Sim</x:v>
      </x:c>
      <x:c r="E215" s="14" t="n">
        <x:v>10</x:v>
      </x:c>
      <x:c r="F215" t="str">
        <x:v>Trimestral</x:v>
      </x:c>
      <x:c r="G215" t="str">
        <x:v>Não</x:v>
      </x:c>
      <x:c r="H215" s="14" t="n">
        <x:v>0</x:v>
      </x:c>
      <x:c r="I215" t="str">
        <x:v>Sim</x:v>
      </x:c>
      <x:c r="J215" s="14" t="n">
        <x:v>20</x:v>
      </x:c>
      <x:c r="K215" s="14" t="n">
        <x:v>12</x:v>
      </x:c>
      <x:c r="L215" s="14" t="n">
        <x:v>18</x:v>
      </x:c>
      <x:c r="M215" s="12" t="n">
        <x:f>DATE(YEAR(C215),MONTH(C215),1)</x:f>
        <x:v>45536</x:v>
      </x:c>
      <x:c r="N215" t="str">
        <x:f>IF(ABS(E215+H215+J215-K215-L215)&lt;0.001,"OK","REVER")</x:f>
        <x:v>OK</x:v>
      </x:c>
    </x:row>
    <x:row r="216" ht="22" customHeight="1">
      <x:c r="A216" t="n">
        <x:v>3445</x:v>
      </x:c>
      <x:c r="B216" t="str">
        <x:v>Core</x:v>
      </x:c>
      <x:c r="C216" s="10" t="n">
        <x:v>45562</x:v>
      </x:c>
      <x:c r="D216" t="str">
        <x:v>Não</x:v>
      </x:c>
      <x:c r="E216" s="14" t="n">
        <x:v>5</x:v>
      </x:c>
      <x:c r="F216" t="str">
        <x:v>Mensal</x:v>
      </x:c>
      <x:c r="G216" t="str">
        <x:v>Não</x:v>
      </x:c>
      <x:c r="H216" s="14" t="n">
        <x:v>0</x:v>
      </x:c>
      <x:c r="I216" t="str">
        <x:v>Não</x:v>
      </x:c>
      <x:c r="J216" s="14" t="n">
        <x:v>0</x:v>
      </x:c>
      <x:c r="K216" s="14" t="n">
        <x:v>2</x:v>
      </x:c>
      <x:c r="L216" s="14" t="n">
        <x:v>3</x:v>
      </x:c>
      <x:c r="M216" s="12" t="n">
        <x:f>DATE(YEAR(C216),MONTH(C216),1)</x:f>
        <x:v>45536</x:v>
      </x:c>
      <x:c r="N216" t="str">
        <x:f>IF(ABS(E216+H216+J216-K216-L216)&lt;0.001,"OK","REVER")</x:f>
        <x:v>OK</x:v>
      </x:c>
    </x:row>
    <x:row r="217" ht="22" customHeight="1">
      <x:c r="A217" t="n">
        <x:v>3446</x:v>
      </x:c>
      <x:c r="B217" t="str">
        <x:v>Ultimate</x:v>
      </x:c>
      <x:c r="C217" s="10" t="n">
        <x:v>45563</x:v>
      </x:c>
      <x:c r="D217" t="str">
        <x:v>Sim</x:v>
      </x:c>
      <x:c r="E217" s="14" t="n">
        <x:v>15</x:v>
      </x:c>
      <x:c r="F217" t="str">
        <x:v>Anual</x:v>
      </x:c>
      <x:c r="G217" t="str">
        <x:v>Sim</x:v>
      </x:c>
      <x:c r="H217" s="14" t="n">
        <x:v>30</x:v>
      </x:c>
      <x:c r="I217" t="str">
        <x:v>Sim</x:v>
      </x:c>
      <x:c r="J217" s="14" t="n">
        <x:v>20</x:v>
      </x:c>
      <x:c r="K217" s="14" t="n">
        <x:v>5</x:v>
      </x:c>
      <x:c r="L217" s="14" t="n">
        <x:v>60</x:v>
      </x:c>
      <x:c r="M217" s="12" t="n">
        <x:f>DATE(YEAR(C217),MONTH(C217),1)</x:f>
        <x:v>45536</x:v>
      </x:c>
      <x:c r="N217" t="str">
        <x:f>IF(ABS(E217+H217+J217-K217-L217)&lt;0.001,"OK","REVER")</x:f>
        <x:v>OK</x:v>
      </x:c>
    </x:row>
    <x:row r="218" ht="22" customHeight="1">
      <x:c r="A218" t="n">
        <x:v>3447</x:v>
      </x:c>
      <x:c r="B218" t="str">
        <x:v>Standard</x:v>
      </x:c>
      <x:c r="C218" s="10" t="n">
        <x:v>45564</x:v>
      </x:c>
      <x:c r="D218" t="str">
        <x:v>Não</x:v>
      </x:c>
      <x:c r="E218" s="14" t="n">
        <x:v>10</x:v>
      </x:c>
      <x:c r="F218" t="str">
        <x:v>Mensal</x:v>
      </x:c>
      <x:c r="G218" t="str">
        <x:v>Não</x:v>
      </x:c>
      <x:c r="H218" s="14" t="n">
        <x:v>0</x:v>
      </x:c>
      <x:c r="I218" t="str">
        <x:v>Sim</x:v>
      </x:c>
      <x:c r="J218" s="14" t="n">
        <x:v>20</x:v>
      </x:c>
      <x:c r="K218" s="14" t="n">
        <x:v>10</x:v>
      </x:c>
      <x:c r="L218" s="14" t="n">
        <x:v>20</x:v>
      </x:c>
      <x:c r="M218" s="12" t="n">
        <x:f>DATE(YEAR(C218),MONTH(C218),1)</x:f>
        <x:v>45536</x:v>
      </x:c>
      <x:c r="N218" t="str">
        <x:f>IF(ABS(E218+H218+J218-K218-L218)&lt;0.001,"OK","REVER")</x:f>
        <x:v>OK</x:v>
      </x:c>
    </x:row>
    <x:row r="219" ht="22" customHeight="1">
      <x:c r="A219" t="n">
        <x:v>3448</x:v>
      </x:c>
      <x:c r="B219" t="str">
        <x:v>Core</x:v>
      </x:c>
      <x:c r="C219" s="10" t="n">
        <x:v>45565</x:v>
      </x:c>
      <x:c r="D219" t="str">
        <x:v>Sim</x:v>
      </x:c>
      <x:c r="E219" s="14" t="n">
        <x:v>5</x:v>
      </x:c>
      <x:c r="F219" t="str">
        <x:v>Trimestral</x:v>
      </x:c>
      <x:c r="G219" t="str">
        <x:v>Não</x:v>
      </x:c>
      <x:c r="H219" s="14" t="n">
        <x:v>0</x:v>
      </x:c>
      <x:c r="I219" t="str">
        <x:v>Não</x:v>
      </x:c>
      <x:c r="J219" s="14" t="n">
        <x:v>0</x:v>
      </x:c>
      <x:c r="K219" s="14" t="n">
        <x:v>0</x:v>
      </x:c>
      <x:c r="L219" s="14" t="n">
        <x:v>5</x:v>
      </x:c>
      <x:c r="M219" s="12" t="n">
        <x:f>DATE(YEAR(C219),MONTH(C219),1)</x:f>
        <x:v>45536</x:v>
      </x:c>
      <x:c r="N219" t="str">
        <x:f>IF(ABS(E219+H219+J219-K219-L219)&lt;0.001,"OK","REVER")</x:f>
        <x:v>OK</x:v>
      </x:c>
    </x:row>
    <x:row r="220" ht="22" customHeight="1">
      <x:c r="A220" t="n">
        <x:v>3449</x:v>
      </x:c>
      <x:c r="B220" t="str">
        <x:v>Ultimate</x:v>
      </x:c>
      <x:c r="C220" s="10" t="n">
        <x:v>45566</x:v>
      </x:c>
      <x:c r="D220" t="str">
        <x:v>Não</x:v>
      </x:c>
      <x:c r="E220" s="14" t="n">
        <x:v>15</x:v>
      </x:c>
      <x:c r="F220" t="str">
        <x:v>Mensal</x:v>
      </x:c>
      <x:c r="G220" t="str">
        <x:v>Sim</x:v>
      </x:c>
      <x:c r="H220" s="14" t="n">
        <x:v>30</x:v>
      </x:c>
      <x:c r="I220" t="str">
        <x:v>Sim</x:v>
      </x:c>
      <x:c r="J220" s="14" t="n">
        <x:v>20</x:v>
      </x:c>
      <x:c r="K220" s="14" t="n">
        <x:v>3</x:v>
      </x:c>
      <x:c r="L220" s="14" t="n">
        <x:v>62</x:v>
      </x:c>
      <x:c r="M220" s="12" t="n">
        <x:f>DATE(YEAR(C220),MONTH(C220),1)</x:f>
        <x:v>45566</x:v>
      </x:c>
      <x:c r="N220" t="str">
        <x:f>IF(ABS(E220+H220+J220-K220-L220)&lt;0.001,"OK","REVER")</x:f>
        <x:v>OK</x:v>
      </x:c>
    </x:row>
    <x:row r="221" ht="22" customHeight="1">
      <x:c r="A221" t="n">
        <x:v>3450</x:v>
      </x:c>
      <x:c r="B221" t="str">
        <x:v>Standard</x:v>
      </x:c>
      <x:c r="C221" s="10" t="n">
        <x:v>45567</x:v>
      </x:c>
      <x:c r="D221" t="str">
        <x:v>Sim</x:v>
      </x:c>
      <x:c r="E221" s="14" t="n">
        <x:v>10</x:v>
      </x:c>
      <x:c r="F221" t="str">
        <x:v>Anual</x:v>
      </x:c>
      <x:c r="G221" t="str">
        <x:v>Não</x:v>
      </x:c>
      <x:c r="H221" s="14" t="n">
        <x:v>0</x:v>
      </x:c>
      <x:c r="I221" t="str">
        <x:v>Sim</x:v>
      </x:c>
      <x:c r="J221" s="14" t="n">
        <x:v>20</x:v>
      </x:c>
      <x:c r="K221" s="14" t="n">
        <x:v>15</x:v>
      </x:c>
      <x:c r="L221" s="14" t="n">
        <x:v>15</x:v>
      </x:c>
      <x:c r="M221" s="12" t="n">
        <x:f>DATE(YEAR(C221),MONTH(C221),1)</x:f>
        <x:v>45566</x:v>
      </x:c>
      <x:c r="N221" t="str">
        <x:f>IF(ABS(E221+H221+J221-K221-L221)&lt;0.001,"OK","REVER")</x:f>
        <x:v>OK</x:v>
      </x:c>
    </x:row>
    <x:row r="222" ht="22" customHeight="1">
      <x:c r="A222" t="n">
        <x:v>3451</x:v>
      </x:c>
      <x:c r="B222" t="str">
        <x:v>Core</x:v>
      </x:c>
      <x:c r="C222" s="10" t="n">
        <x:v>45568</x:v>
      </x:c>
      <x:c r="D222" t="str">
        <x:v>Não</x:v>
      </x:c>
      <x:c r="E222" s="14" t="n">
        <x:v>5</x:v>
      </x:c>
      <x:c r="F222" t="str">
        <x:v>Mensal</x:v>
      </x:c>
      <x:c r="G222" t="str">
        <x:v>Não</x:v>
      </x:c>
      <x:c r="H222" s="14" t="n">
        <x:v>0</x:v>
      </x:c>
      <x:c r="I222" t="str">
        <x:v>Não</x:v>
      </x:c>
      <x:c r="J222" s="14" t="n">
        <x:v>0</x:v>
      </x:c>
      <x:c r="K222" s="14" t="n">
        <x:v>1</x:v>
      </x:c>
      <x:c r="L222" s="14" t="n">
        <x:v>4</x:v>
      </x:c>
      <x:c r="M222" s="12" t="n">
        <x:f>DATE(YEAR(C222),MONTH(C222),1)</x:f>
        <x:v>45566</x:v>
      </x:c>
      <x:c r="N222" t="str">
        <x:f>IF(ABS(E222+H222+J222-K222-L222)&lt;0.001,"OK","REVER")</x:f>
        <x:v>OK</x:v>
      </x:c>
    </x:row>
    <x:row r="223" ht="22" customHeight="1">
      <x:c r="A223" t="n">
        <x:v>3452</x:v>
      </x:c>
      <x:c r="B223" t="str">
        <x:v>Ultimate</x:v>
      </x:c>
      <x:c r="C223" s="10" t="n">
        <x:v>45569</x:v>
      </x:c>
      <x:c r="D223" t="str">
        <x:v>Sim</x:v>
      </x:c>
      <x:c r="E223" s="14" t="n">
        <x:v>15</x:v>
      </x:c>
      <x:c r="F223" t="str">
        <x:v>Trimestral</x:v>
      </x:c>
      <x:c r="G223" t="str">
        <x:v>Sim</x:v>
      </x:c>
      <x:c r="H223" s="14" t="n">
        <x:v>30</x:v>
      </x:c>
      <x:c r="I223" t="str">
        <x:v>Sim</x:v>
      </x:c>
      <x:c r="J223" s="14" t="n">
        <x:v>20</x:v>
      </x:c>
      <x:c r="K223" s="14" t="n">
        <x:v>7</x:v>
      </x:c>
      <x:c r="L223" s="14" t="n">
        <x:v>58</x:v>
      </x:c>
      <x:c r="M223" s="12" t="n">
        <x:f>DATE(YEAR(C223),MONTH(C223),1)</x:f>
        <x:v>45566</x:v>
      </x:c>
      <x:c r="N223" t="str">
        <x:f>IF(ABS(E223+H223+J223-K223-L223)&lt;0.001,"OK","REVER")</x:f>
        <x:v>OK</x:v>
      </x:c>
    </x:row>
    <x:row r="224" ht="22" customHeight="1">
      <x:c r="A224" t="n">
        <x:v>3453</x:v>
      </x:c>
      <x:c r="B224" t="str">
        <x:v>Standard</x:v>
      </x:c>
      <x:c r="C224" s="10" t="n">
        <x:v>45570</x:v>
      </x:c>
      <x:c r="D224" t="str">
        <x:v>Não</x:v>
      </x:c>
      <x:c r="E224" s="14" t="n">
        <x:v>10</x:v>
      </x:c>
      <x:c r="F224" t="str">
        <x:v>Mensal</x:v>
      </x:c>
      <x:c r="G224" t="str">
        <x:v>Não</x:v>
      </x:c>
      <x:c r="H224" s="14" t="n">
        <x:v>0</x:v>
      </x:c>
      <x:c r="I224" t="str">
        <x:v>Sim</x:v>
      </x:c>
      <x:c r="J224" s="14" t="n">
        <x:v>20</x:v>
      </x:c>
      <x:c r="K224" s="14" t="n">
        <x:v>10</x:v>
      </x:c>
      <x:c r="L224" s="14" t="n">
        <x:v>20</x:v>
      </x:c>
      <x:c r="M224" s="12" t="n">
        <x:f>DATE(YEAR(C224),MONTH(C224),1)</x:f>
        <x:v>45566</x:v>
      </x:c>
      <x:c r="N224" t="str">
        <x:f>IF(ABS(E224+H224+J224-K224-L224)&lt;0.001,"OK","REVER")</x:f>
        <x:v>OK</x:v>
      </x:c>
    </x:row>
    <x:row r="225" ht="22" customHeight="1">
      <x:c r="A225" t="n">
        <x:v>3454</x:v>
      </x:c>
      <x:c r="B225" t="str">
        <x:v>Core</x:v>
      </x:c>
      <x:c r="C225" s="10" t="n">
        <x:v>45571</x:v>
      </x:c>
      <x:c r="D225" t="str">
        <x:v>Sim</x:v>
      </x:c>
      <x:c r="E225" s="14" t="n">
        <x:v>5</x:v>
      </x:c>
      <x:c r="F225" t="str">
        <x:v>Anual</x:v>
      </x:c>
      <x:c r="G225" t="str">
        <x:v>Não</x:v>
      </x:c>
      <x:c r="H225" s="14" t="n">
        <x:v>0</x:v>
      </x:c>
      <x:c r="I225" t="str">
        <x:v>Não</x:v>
      </x:c>
      <x:c r="J225" s="14" t="n">
        <x:v>0</x:v>
      </x:c>
      <x:c r="K225" s="14" t="n">
        <x:v>0</x:v>
      </x:c>
      <x:c r="L225" s="14" t="n">
        <x:v>5</x:v>
      </x:c>
      <x:c r="M225" s="12" t="n">
        <x:f>DATE(YEAR(C225),MONTH(C225),1)</x:f>
        <x:v>45566</x:v>
      </x:c>
      <x:c r="N225" t="str">
        <x:f>IF(ABS(E225+H225+J225-K225-L225)&lt;0.001,"OK","REVER")</x:f>
        <x:v>OK</x:v>
      </x:c>
    </x:row>
    <x:row r="226" ht="22" customHeight="1">
      <x:c r="A226" t="n">
        <x:v>3455</x:v>
      </x:c>
      <x:c r="B226" t="str">
        <x:v>Ultimate</x:v>
      </x:c>
      <x:c r="C226" s="10" t="n">
        <x:v>45572</x:v>
      </x:c>
      <x:c r="D226" t="str">
        <x:v>Não</x:v>
      </x:c>
      <x:c r="E226" s="14" t="n">
        <x:v>15</x:v>
      </x:c>
      <x:c r="F226" t="str">
        <x:v>Mensal</x:v>
      </x:c>
      <x:c r="G226" t="str">
        <x:v>Sim</x:v>
      </x:c>
      <x:c r="H226" s="14" t="n">
        <x:v>30</x:v>
      </x:c>
      <x:c r="I226" t="str">
        <x:v>Sim</x:v>
      </x:c>
      <x:c r="J226" s="14" t="n">
        <x:v>20</x:v>
      </x:c>
      <x:c r="K226" s="14" t="n">
        <x:v>20</x:v>
      </x:c>
      <x:c r="L226" s="14" t="n">
        <x:v>45</x:v>
      </x:c>
      <x:c r="M226" s="12" t="n">
        <x:f>DATE(YEAR(C226),MONTH(C226),1)</x:f>
        <x:v>45566</x:v>
      </x:c>
      <x:c r="N226" t="str">
        <x:f>IF(ABS(E226+H226+J226-K226-L226)&lt;0.001,"OK","REVER")</x:f>
        <x:v>OK</x:v>
      </x:c>
    </x:row>
    <x:row r="227" ht="22" customHeight="1">
      <x:c r="A227" t="n">
        <x:v>3456</x:v>
      </x:c>
      <x:c r="B227" t="str">
        <x:v>Standard</x:v>
      </x:c>
      <x:c r="C227" s="10" t="n">
        <x:v>45573</x:v>
      </x:c>
      <x:c r="D227" t="str">
        <x:v>Sim</x:v>
      </x:c>
      <x:c r="E227" s="14" t="n">
        <x:v>10</x:v>
      </x:c>
      <x:c r="F227" t="str">
        <x:v>Trimestral</x:v>
      </x:c>
      <x:c r="G227" t="str">
        <x:v>Não</x:v>
      </x:c>
      <x:c r="H227" s="14" t="n">
        <x:v>0</x:v>
      </x:c>
      <x:c r="I227" t="str">
        <x:v>Sim</x:v>
      </x:c>
      <x:c r="J227" s="14" t="n">
        <x:v>20</x:v>
      </x:c>
      <x:c r="K227" s="14" t="n">
        <x:v>15</x:v>
      </x:c>
      <x:c r="L227" s="14" t="n">
        <x:v>15</x:v>
      </x:c>
      <x:c r="M227" s="12" t="n">
        <x:f>DATE(YEAR(C227),MONTH(C227),1)</x:f>
        <x:v>45566</x:v>
      </x:c>
      <x:c r="N227" t="str">
        <x:f>IF(ABS(E227+H227+J227-K227-L227)&lt;0.001,"OK","REVER")</x:f>
        <x:v>OK</x:v>
      </x:c>
    </x:row>
    <x:row r="228" ht="22" customHeight="1">
      <x:c r="A228" t="n">
        <x:v>3457</x:v>
      </x:c>
      <x:c r="B228" t="str">
        <x:v>Core</x:v>
      </x:c>
      <x:c r="C228" s="10" t="n">
        <x:v>45574</x:v>
      </x:c>
      <x:c r="D228" t="str">
        <x:v>Não</x:v>
      </x:c>
      <x:c r="E228" s="14" t="n">
        <x:v>5</x:v>
      </x:c>
      <x:c r="F228" t="str">
        <x:v>Mensal</x:v>
      </x:c>
      <x:c r="G228" t="str">
        <x:v>Não</x:v>
      </x:c>
      <x:c r="H228" s="14" t="n">
        <x:v>0</x:v>
      </x:c>
      <x:c r="I228" t="str">
        <x:v>Não</x:v>
      </x:c>
      <x:c r="J228" s="14" t="n">
        <x:v>0</x:v>
      </x:c>
      <x:c r="K228" s="14" t="n">
        <x:v>1</x:v>
      </x:c>
      <x:c r="L228" s="14" t="n">
        <x:v>4</x:v>
      </x:c>
      <x:c r="M228" s="12" t="n">
        <x:f>DATE(YEAR(C228),MONTH(C228),1)</x:f>
        <x:v>45566</x:v>
      </x:c>
      <x:c r="N228" t="str">
        <x:f>IF(ABS(E228+H228+J228-K228-L228)&lt;0.001,"OK","REVER")</x:f>
        <x:v>OK</x:v>
      </x:c>
    </x:row>
    <x:row r="229" ht="22" customHeight="1">
      <x:c r="A229" t="n">
        <x:v>3458</x:v>
      </x:c>
      <x:c r="B229" t="str">
        <x:v>Ultimate</x:v>
      </x:c>
      <x:c r="C229" s="10" t="n">
        <x:v>45575</x:v>
      </x:c>
      <x:c r="D229" t="str">
        <x:v>Sim</x:v>
      </x:c>
      <x:c r="E229" s="14" t="n">
        <x:v>15</x:v>
      </x:c>
      <x:c r="F229" t="str">
        <x:v>Anual</x:v>
      </x:c>
      <x:c r="G229" t="str">
        <x:v>Sim</x:v>
      </x:c>
      <x:c r="H229" s="14" t="n">
        <x:v>30</x:v>
      </x:c>
      <x:c r="I229" t="str">
        <x:v>Sim</x:v>
      </x:c>
      <x:c r="J229" s="14" t="n">
        <x:v>20</x:v>
      </x:c>
      <x:c r="K229" s="14" t="n">
        <x:v>3</x:v>
      </x:c>
      <x:c r="L229" s="14" t="n">
        <x:v>62</x:v>
      </x:c>
      <x:c r="M229" s="12" t="n">
        <x:f>DATE(YEAR(C229),MONTH(C229),1)</x:f>
        <x:v>45566</x:v>
      </x:c>
      <x:c r="N229" t="str">
        <x:f>IF(ABS(E229+H229+J229-K229-L229)&lt;0.001,"OK","REVER")</x:f>
        <x:v>OK</x:v>
      </x:c>
    </x:row>
    <x:row r="230" ht="22" customHeight="1">
      <x:c r="A230" t="n">
        <x:v>3459</x:v>
      </x:c>
      <x:c r="B230" t="str">
        <x:v>Standard</x:v>
      </x:c>
      <x:c r="C230" s="10" t="n">
        <x:v>45576</x:v>
      </x:c>
      <x:c r="D230" t="str">
        <x:v>Não</x:v>
      </x:c>
      <x:c r="E230" s="14" t="n">
        <x:v>10</x:v>
      </x:c>
      <x:c r="F230" t="str">
        <x:v>Mensal</x:v>
      </x:c>
      <x:c r="G230" t="str">
        <x:v>Não</x:v>
      </x:c>
      <x:c r="H230" s="14" t="n">
        <x:v>0</x:v>
      </x:c>
      <x:c r="I230" t="str">
        <x:v>Sim</x:v>
      </x:c>
      <x:c r="J230" s="14" t="n">
        <x:v>20</x:v>
      </x:c>
      <x:c r="K230" s="14" t="n">
        <x:v>10</x:v>
      </x:c>
      <x:c r="L230" s="14" t="n">
        <x:v>20</x:v>
      </x:c>
      <x:c r="M230" s="12" t="n">
        <x:f>DATE(YEAR(C230),MONTH(C230),1)</x:f>
        <x:v>45566</x:v>
      </x:c>
      <x:c r="N230" t="str">
        <x:f>IF(ABS(E230+H230+J230-K230-L230)&lt;0.001,"OK","REVER")</x:f>
        <x:v>OK</x:v>
      </x:c>
    </x:row>
    <x:row r="231" ht="22" customHeight="1">
      <x:c r="A231" t="n">
        <x:v>3460</x:v>
      </x:c>
      <x:c r="B231" t="str">
        <x:v>Core</x:v>
      </x:c>
      <x:c r="C231" s="10" t="n">
        <x:v>45577</x:v>
      </x:c>
      <x:c r="D231" t="str">
        <x:v>Sim</x:v>
      </x:c>
      <x:c r="E231" s="14" t="n">
        <x:v>5</x:v>
      </x:c>
      <x:c r="F231" t="str">
        <x:v>Trimestral</x:v>
      </x:c>
      <x:c r="G231" t="str">
        <x:v>Não</x:v>
      </x:c>
      <x:c r="H231" s="14" t="n">
        <x:v>0</x:v>
      </x:c>
      <x:c r="I231" t="str">
        <x:v>Não</x:v>
      </x:c>
      <x:c r="J231" s="14" t="n">
        <x:v>0</x:v>
      </x:c>
      <x:c r="K231" s="14" t="n">
        <x:v>0</x:v>
      </x:c>
      <x:c r="L231" s="14" t="n">
        <x:v>5</x:v>
      </x:c>
      <x:c r="M231" s="12" t="n">
        <x:f>DATE(YEAR(C231),MONTH(C231),1)</x:f>
        <x:v>45566</x:v>
      </x:c>
      <x:c r="N231" t="str">
        <x:f>IF(ABS(E231+H231+J231-K231-L231)&lt;0.001,"OK","REVER")</x:f>
        <x:v>OK</x:v>
      </x:c>
    </x:row>
    <x:row r="232" ht="22" customHeight="1">
      <x:c r="A232" t="n">
        <x:v>3461</x:v>
      </x:c>
      <x:c r="B232" t="str">
        <x:v>Ultimate</x:v>
      </x:c>
      <x:c r="C232" s="10" t="n">
        <x:v>45578</x:v>
      </x:c>
      <x:c r="D232" t="str">
        <x:v>Não</x:v>
      </x:c>
      <x:c r="E232" s="14" t="n">
        <x:v>15</x:v>
      </x:c>
      <x:c r="F232" t="str">
        <x:v>Mensal</x:v>
      </x:c>
      <x:c r="G232" t="str">
        <x:v>Sim</x:v>
      </x:c>
      <x:c r="H232" s="14" t="n">
        <x:v>30</x:v>
      </x:c>
      <x:c r="I232" t="str">
        <x:v>Sim</x:v>
      </x:c>
      <x:c r="J232" s="14" t="n">
        <x:v>20</x:v>
      </x:c>
      <x:c r="K232" s="14" t="n">
        <x:v>15</x:v>
      </x:c>
      <x:c r="L232" s="14" t="n">
        <x:v>50</x:v>
      </x:c>
      <x:c r="M232" s="12" t="n">
        <x:f>DATE(YEAR(C232),MONTH(C232),1)</x:f>
        <x:v>45566</x:v>
      </x:c>
      <x:c r="N232" t="str">
        <x:f>IF(ABS(E232+H232+J232-K232-L232)&lt;0.001,"OK","REVER")</x:f>
        <x:v>OK</x:v>
      </x:c>
    </x:row>
    <x:row r="233" ht="22" customHeight="1">
      <x:c r="A233" t="n">
        <x:v>3462</x:v>
      </x:c>
      <x:c r="B233" t="str">
        <x:v>Standard</x:v>
      </x:c>
      <x:c r="C233" s="10" t="n">
        <x:v>45579</x:v>
      </x:c>
      <x:c r="D233" t="str">
        <x:v>Sim</x:v>
      </x:c>
      <x:c r="E233" s="14" t="n">
        <x:v>10</x:v>
      </x:c>
      <x:c r="F233" t="str">
        <x:v>Anual</x:v>
      </x:c>
      <x:c r="G233" t="str">
        <x:v>Não</x:v>
      </x:c>
      <x:c r="H233" s="14" t="n">
        <x:v>0</x:v>
      </x:c>
      <x:c r="I233" t="str">
        <x:v>Sim</x:v>
      </x:c>
      <x:c r="J233" s="14" t="n">
        <x:v>20</x:v>
      </x:c>
      <x:c r="K233" s="14" t="n">
        <x:v>15</x:v>
      </x:c>
      <x:c r="L233" s="14" t="n">
        <x:v>15</x:v>
      </x:c>
      <x:c r="M233" s="12" t="n">
        <x:f>DATE(YEAR(C233),MONTH(C233),1)</x:f>
        <x:v>45566</x:v>
      </x:c>
      <x:c r="N233" t="str">
        <x:f>IF(ABS(E233+H233+J233-K233-L233)&lt;0.001,"OK","REVER")</x:f>
        <x:v>OK</x:v>
      </x:c>
    </x:row>
    <x:row r="234" ht="22" customHeight="1">
      <x:c r="A234" t="n">
        <x:v>3463</x:v>
      </x:c>
      <x:c r="B234" t="str">
        <x:v>Core</x:v>
      </x:c>
      <x:c r="C234" s="10" t="n">
        <x:v>45580</x:v>
      </x:c>
      <x:c r="D234" t="str">
        <x:v>Não</x:v>
      </x:c>
      <x:c r="E234" s="14" t="n">
        <x:v>5</x:v>
      </x:c>
      <x:c r="F234" t="str">
        <x:v>Mensal</x:v>
      </x:c>
      <x:c r="G234" t="str">
        <x:v>Não</x:v>
      </x:c>
      <x:c r="H234" s="14" t="n">
        <x:v>0</x:v>
      </x:c>
      <x:c r="I234" t="str">
        <x:v>Não</x:v>
      </x:c>
      <x:c r="J234" s="14" t="n">
        <x:v>0</x:v>
      </x:c>
      <x:c r="K234" s="14" t="n">
        <x:v>1</x:v>
      </x:c>
      <x:c r="L234" s="14" t="n">
        <x:v>4</x:v>
      </x:c>
      <x:c r="M234" s="12" t="n">
        <x:f>DATE(YEAR(C234),MONTH(C234),1)</x:f>
        <x:v>45566</x:v>
      </x:c>
      <x:c r="N234" t="str">
        <x:f>IF(ABS(E234+H234+J234-K234-L234)&lt;0.001,"OK","REVER")</x:f>
        <x:v>OK</x:v>
      </x:c>
    </x:row>
    <x:row r="235" ht="22" customHeight="1">
      <x:c r="A235" t="n">
        <x:v>3464</x:v>
      </x:c>
      <x:c r="B235" t="str">
        <x:v>Ultimate</x:v>
      </x:c>
      <x:c r="C235" s="10" t="n">
        <x:v>45581</x:v>
      </x:c>
      <x:c r="D235" t="str">
        <x:v>Sim</x:v>
      </x:c>
      <x:c r="E235" s="14" t="n">
        <x:v>15</x:v>
      </x:c>
      <x:c r="F235" t="str">
        <x:v>Trimestral</x:v>
      </x:c>
      <x:c r="G235" t="str">
        <x:v>Sim</x:v>
      </x:c>
      <x:c r="H235" s="14" t="n">
        <x:v>30</x:v>
      </x:c>
      <x:c r="I235" t="str">
        <x:v>Sim</x:v>
      </x:c>
      <x:c r="J235" s="14" t="n">
        <x:v>20</x:v>
      </x:c>
      <x:c r="K235" s="14" t="n">
        <x:v>7</x:v>
      </x:c>
      <x:c r="L235" s="14" t="n">
        <x:v>58</x:v>
      </x:c>
      <x:c r="M235" s="12" t="n">
        <x:f>DATE(YEAR(C235),MONTH(C235),1)</x:f>
        <x:v>45566</x:v>
      </x:c>
      <x:c r="N235" t="str">
        <x:f>IF(ABS(E235+H235+J235-K235-L235)&lt;0.001,"OK","REVER")</x:f>
        <x:v>OK</x:v>
      </x:c>
    </x:row>
    <x:row r="236" ht="22" customHeight="1">
      <x:c r="A236" t="n">
        <x:v>3465</x:v>
      </x:c>
      <x:c r="B236" t="str">
        <x:v>Standard</x:v>
      </x:c>
      <x:c r="C236" s="10" t="n">
        <x:v>45582</x:v>
      </x:c>
      <x:c r="D236" t="str">
        <x:v>Não</x:v>
      </x:c>
      <x:c r="E236" s="14" t="n">
        <x:v>10</x:v>
      </x:c>
      <x:c r="F236" t="str">
        <x:v>Mensal</x:v>
      </x:c>
      <x:c r="G236" t="str">
        <x:v>Não</x:v>
      </x:c>
      <x:c r="H236" s="14" t="n">
        <x:v>0</x:v>
      </x:c>
      <x:c r="I236" t="str">
        <x:v>Sim</x:v>
      </x:c>
      <x:c r="J236" s="14" t="n">
        <x:v>20</x:v>
      </x:c>
      <x:c r="K236" s="14" t="n">
        <x:v>10</x:v>
      </x:c>
      <x:c r="L236" s="14" t="n">
        <x:v>20</x:v>
      </x:c>
      <x:c r="M236" s="12" t="n">
        <x:f>DATE(YEAR(C236),MONTH(C236),1)</x:f>
        <x:v>45566</x:v>
      </x:c>
      <x:c r="N236" t="str">
        <x:f>IF(ABS(E236+H236+J236-K236-L236)&lt;0.001,"OK","REVER")</x:f>
        <x:v>OK</x:v>
      </x:c>
    </x:row>
    <x:row r="237" ht="22" customHeight="1">
      <x:c r="A237" t="n">
        <x:v>3466</x:v>
      </x:c>
      <x:c r="B237" t="str">
        <x:v>Core</x:v>
      </x:c>
      <x:c r="C237" s="10" t="n">
        <x:v>45583</x:v>
      </x:c>
      <x:c r="D237" t="str">
        <x:v>Sim</x:v>
      </x:c>
      <x:c r="E237" s="14" t="n">
        <x:v>5</x:v>
      </x:c>
      <x:c r="F237" t="str">
        <x:v>Anual</x:v>
      </x:c>
      <x:c r="G237" t="str">
        <x:v>Não</x:v>
      </x:c>
      <x:c r="H237" s="14" t="n">
        <x:v>0</x:v>
      </x:c>
      <x:c r="I237" t="str">
        <x:v>Não</x:v>
      </x:c>
      <x:c r="J237" s="14" t="n">
        <x:v>0</x:v>
      </x:c>
      <x:c r="K237" s="14" t="n">
        <x:v>0</x:v>
      </x:c>
      <x:c r="L237" s="14" t="n">
        <x:v>5</x:v>
      </x:c>
      <x:c r="M237" s="12" t="n">
        <x:f>DATE(YEAR(C237),MONTH(C237),1)</x:f>
        <x:v>45566</x:v>
      </x:c>
      <x:c r="N237" t="str">
        <x:f>IF(ABS(E237+H237+J237-K237-L237)&lt;0.001,"OK","REVER")</x:f>
        <x:v>OK</x:v>
      </x:c>
    </x:row>
    <x:row r="238" ht="22" customHeight="1">
      <x:c r="A238" t="n">
        <x:v>3467</x:v>
      </x:c>
      <x:c r="B238" t="str">
        <x:v>Ultimate</x:v>
      </x:c>
      <x:c r="C238" s="10" t="n">
        <x:v>45584</x:v>
      </x:c>
      <x:c r="D238" t="str">
        <x:v>Não</x:v>
      </x:c>
      <x:c r="E238" s="14" t="n">
        <x:v>15</x:v>
      </x:c>
      <x:c r="F238" t="str">
        <x:v>Mensal</x:v>
      </x:c>
      <x:c r="G238" t="str">
        <x:v>Sim</x:v>
      </x:c>
      <x:c r="H238" s="14" t="n">
        <x:v>30</x:v>
      </x:c>
      <x:c r="I238" t="str">
        <x:v>Sim</x:v>
      </x:c>
      <x:c r="J238" s="14" t="n">
        <x:v>20</x:v>
      </x:c>
      <x:c r="K238" s="14" t="n">
        <x:v>15</x:v>
      </x:c>
      <x:c r="L238" s="14" t="n">
        <x:v>50</x:v>
      </x:c>
      <x:c r="M238" s="12" t="n">
        <x:f>DATE(YEAR(C238),MONTH(C238),1)</x:f>
        <x:v>45566</x:v>
      </x:c>
      <x:c r="N238" t="str">
        <x:f>IF(ABS(E238+H238+J238-K238-L238)&lt;0.001,"OK","REVER")</x:f>
        <x:v>OK</x:v>
      </x:c>
    </x:row>
    <x:row r="239" ht="22" customHeight="1">
      <x:c r="A239" t="n">
        <x:v>3468</x:v>
      </x:c>
      <x:c r="B239" t="str">
        <x:v>Standard</x:v>
      </x:c>
      <x:c r="C239" s="10" t="n">
        <x:v>45585</x:v>
      </x:c>
      <x:c r="D239" t="str">
        <x:v>Sim</x:v>
      </x:c>
      <x:c r="E239" s="14" t="n">
        <x:v>10</x:v>
      </x:c>
      <x:c r="F239" t="str">
        <x:v>Trimestral</x:v>
      </x:c>
      <x:c r="G239" t="str">
        <x:v>Não</x:v>
      </x:c>
      <x:c r="H239" s="14" t="n">
        <x:v>0</x:v>
      </x:c>
      <x:c r="I239" t="str">
        <x:v>Sim</x:v>
      </x:c>
      <x:c r="J239" s="14" t="n">
        <x:v>20</x:v>
      </x:c>
      <x:c r="K239" s="14" t="n">
        <x:v>12</x:v>
      </x:c>
      <x:c r="L239" s="14" t="n">
        <x:v>18</x:v>
      </x:c>
      <x:c r="M239" s="12" t="n">
        <x:f>DATE(YEAR(C239),MONTH(C239),1)</x:f>
        <x:v>45566</x:v>
      </x:c>
      <x:c r="N239" t="str">
        <x:f>IF(ABS(E239+H239+J239-K239-L239)&lt;0.001,"OK","REVER")</x:f>
        <x:v>OK</x:v>
      </x:c>
    </x:row>
    <x:row r="240" ht="22" customHeight="1">
      <x:c r="A240" t="n">
        <x:v>3469</x:v>
      </x:c>
      <x:c r="B240" t="str">
        <x:v>Core</x:v>
      </x:c>
      <x:c r="C240" s="10" t="n">
        <x:v>45586</x:v>
      </x:c>
      <x:c r="D240" t="str">
        <x:v>Não</x:v>
      </x:c>
      <x:c r="E240" s="14" t="n">
        <x:v>5</x:v>
      </x:c>
      <x:c r="F240" t="str">
        <x:v>Mensal</x:v>
      </x:c>
      <x:c r="G240" t="str">
        <x:v>Não</x:v>
      </x:c>
      <x:c r="H240" s="14" t="n">
        <x:v>0</x:v>
      </x:c>
      <x:c r="I240" t="str">
        <x:v>Não</x:v>
      </x:c>
      <x:c r="J240" s="14" t="n">
        <x:v>0</x:v>
      </x:c>
      <x:c r="K240" s="14" t="n">
        <x:v>2</x:v>
      </x:c>
      <x:c r="L240" s="14" t="n">
        <x:v>3</x:v>
      </x:c>
      <x:c r="M240" s="12" t="n">
        <x:f>DATE(YEAR(C240),MONTH(C240),1)</x:f>
        <x:v>45566</x:v>
      </x:c>
      <x:c r="N240" t="str">
        <x:f>IF(ABS(E240+H240+J240-K240-L240)&lt;0.001,"OK","REVER")</x:f>
        <x:v>OK</x:v>
      </x:c>
    </x:row>
    <x:row r="241" ht="22" customHeight="1">
      <x:c r="A241" t="n">
        <x:v>3470</x:v>
      </x:c>
      <x:c r="B241" t="str">
        <x:v>Ultimate</x:v>
      </x:c>
      <x:c r="C241" s="10" t="n">
        <x:v>45587</x:v>
      </x:c>
      <x:c r="D241" t="str">
        <x:v>Sim</x:v>
      </x:c>
      <x:c r="E241" s="14" t="n">
        <x:v>15</x:v>
      </x:c>
      <x:c r="F241" t="str">
        <x:v>Anual</x:v>
      </x:c>
      <x:c r="G241" t="str">
        <x:v>Sim</x:v>
      </x:c>
      <x:c r="H241" s="14" t="n">
        <x:v>30</x:v>
      </x:c>
      <x:c r="I241" t="str">
        <x:v>Sim</x:v>
      </x:c>
      <x:c r="J241" s="14" t="n">
        <x:v>20</x:v>
      </x:c>
      <x:c r="K241" s="14" t="n">
        <x:v>5</x:v>
      </x:c>
      <x:c r="L241" s="14" t="n">
        <x:v>60</x:v>
      </x:c>
      <x:c r="M241" s="12" t="n">
        <x:f>DATE(YEAR(C241),MONTH(C241),1)</x:f>
        <x:v>45566</x:v>
      </x:c>
      <x:c r="N241" t="str">
        <x:f>IF(ABS(E241+H241+J241-K241-L241)&lt;0.001,"OK","REVER")</x:f>
        <x:v>OK</x:v>
      </x:c>
    </x:row>
    <x:row r="242" ht="22" customHeight="1">
      <x:c r="A242" t="n">
        <x:v>3471</x:v>
      </x:c>
      <x:c r="B242" t="str">
        <x:v>Standard</x:v>
      </x:c>
      <x:c r="C242" s="10" t="n">
        <x:v>45588</x:v>
      </x:c>
      <x:c r="D242" t="str">
        <x:v>Não</x:v>
      </x:c>
      <x:c r="E242" s="14" t="n">
        <x:v>10</x:v>
      </x:c>
      <x:c r="F242" t="str">
        <x:v>Mensal</x:v>
      </x:c>
      <x:c r="G242" t="str">
        <x:v>Não</x:v>
      </x:c>
      <x:c r="H242" s="14" t="n">
        <x:v>0</x:v>
      </x:c>
      <x:c r="I242" t="str">
        <x:v>Sim</x:v>
      </x:c>
      <x:c r="J242" s="14" t="n">
        <x:v>20</x:v>
      </x:c>
      <x:c r="K242" s="14" t="n">
        <x:v>10</x:v>
      </x:c>
      <x:c r="L242" s="14" t="n">
        <x:v>20</x:v>
      </x:c>
      <x:c r="M242" s="12" t="n">
        <x:f>DATE(YEAR(C242),MONTH(C242),1)</x:f>
        <x:v>45566</x:v>
      </x:c>
      <x:c r="N242" t="str">
        <x:f>IF(ABS(E242+H242+J242-K242-L242)&lt;0.001,"OK","REVER")</x:f>
        <x:v>OK</x:v>
      </x:c>
    </x:row>
    <x:row r="243" ht="22" customHeight="1">
      <x:c r="A243" t="n">
        <x:v>3472</x:v>
      </x:c>
      <x:c r="B243" t="str">
        <x:v>Core</x:v>
      </x:c>
      <x:c r="C243" s="10" t="n">
        <x:v>45589</x:v>
      </x:c>
      <x:c r="D243" t="str">
        <x:v>Sim</x:v>
      </x:c>
      <x:c r="E243" s="14" t="n">
        <x:v>5</x:v>
      </x:c>
      <x:c r="F243" t="str">
        <x:v>Trimestral</x:v>
      </x:c>
      <x:c r="G243" t="str">
        <x:v>Não</x:v>
      </x:c>
      <x:c r="H243" s="14" t="n">
        <x:v>0</x:v>
      </x:c>
      <x:c r="I243" t="str">
        <x:v>Não</x:v>
      </x:c>
      <x:c r="J243" s="14" t="n">
        <x:v>0</x:v>
      </x:c>
      <x:c r="K243" s="14" t="n">
        <x:v>0</x:v>
      </x:c>
      <x:c r="L243" s="14" t="n">
        <x:v>5</x:v>
      </x:c>
      <x:c r="M243" s="12" t="n">
        <x:f>DATE(YEAR(C243),MONTH(C243),1)</x:f>
        <x:v>45566</x:v>
      </x:c>
      <x:c r="N243" t="str">
        <x:f>IF(ABS(E243+H243+J243-K243-L243)&lt;0.001,"OK","REVER")</x:f>
        <x:v>OK</x:v>
      </x:c>
    </x:row>
    <x:row r="244" ht="22" customHeight="1">
      <x:c r="A244" t="n">
        <x:v>3473</x:v>
      </x:c>
      <x:c r="B244" t="str">
        <x:v>Ultimate</x:v>
      </x:c>
      <x:c r="C244" s="10" t="n">
        <x:v>45590</x:v>
      </x:c>
      <x:c r="D244" t="str">
        <x:v>Não</x:v>
      </x:c>
      <x:c r="E244" s="14" t="n">
        <x:v>15</x:v>
      </x:c>
      <x:c r="F244" t="str">
        <x:v>Mensal</x:v>
      </x:c>
      <x:c r="G244" t="str">
        <x:v>Sim</x:v>
      </x:c>
      <x:c r="H244" s="14" t="n">
        <x:v>30</x:v>
      </x:c>
      <x:c r="I244" t="str">
        <x:v>Sim</x:v>
      </x:c>
      <x:c r="J244" s="14" t="n">
        <x:v>20</x:v>
      </x:c>
      <x:c r="K244" s="14" t="n">
        <x:v>3</x:v>
      </x:c>
      <x:c r="L244" s="14" t="n">
        <x:v>62</x:v>
      </x:c>
      <x:c r="M244" s="12" t="n">
        <x:f>DATE(YEAR(C244),MONTH(C244),1)</x:f>
        <x:v>45566</x:v>
      </x:c>
      <x:c r="N244" t="str">
        <x:f>IF(ABS(E244+H244+J244-K244-L244)&lt;0.001,"OK","REVER")</x:f>
        <x:v>OK</x:v>
      </x:c>
    </x:row>
    <x:row r="245" ht="22" customHeight="1">
      <x:c r="A245" t="n">
        <x:v>3474</x:v>
      </x:c>
      <x:c r="B245" t="str">
        <x:v>Standard</x:v>
      </x:c>
      <x:c r="C245" s="10" t="n">
        <x:v>45591</x:v>
      </x:c>
      <x:c r="D245" t="str">
        <x:v>Sim</x:v>
      </x:c>
      <x:c r="E245" s="14" t="n">
        <x:v>10</x:v>
      </x:c>
      <x:c r="F245" t="str">
        <x:v>Anual</x:v>
      </x:c>
      <x:c r="G245" t="str">
        <x:v>Não</x:v>
      </x:c>
      <x:c r="H245" s="14" t="n">
        <x:v>0</x:v>
      </x:c>
      <x:c r="I245" t="str">
        <x:v>Sim</x:v>
      </x:c>
      <x:c r="J245" s="14" t="n">
        <x:v>20</x:v>
      </x:c>
      <x:c r="K245" s="14" t="n">
        <x:v>15</x:v>
      </x:c>
      <x:c r="L245" s="14" t="n">
        <x:v>15</x:v>
      </x:c>
      <x:c r="M245" s="12" t="n">
        <x:f>DATE(YEAR(C245),MONTH(C245),1)</x:f>
        <x:v>45566</x:v>
      </x:c>
      <x:c r="N245" t="str">
        <x:f>IF(ABS(E245+H245+J245-K245-L245)&lt;0.001,"OK","REVER")</x:f>
        <x:v>OK</x:v>
      </x:c>
    </x:row>
    <x:row r="246" ht="22" customHeight="1">
      <x:c r="A246" t="n">
        <x:v>3475</x:v>
      </x:c>
      <x:c r="B246" t="str">
        <x:v>Core</x:v>
      </x:c>
      <x:c r="C246" s="10" t="n">
        <x:v>45592</x:v>
      </x:c>
      <x:c r="D246" t="str">
        <x:v>Não</x:v>
      </x:c>
      <x:c r="E246" s="14" t="n">
        <x:v>5</x:v>
      </x:c>
      <x:c r="F246" t="str">
        <x:v>Mensal</x:v>
      </x:c>
      <x:c r="G246" t="str">
        <x:v>Não</x:v>
      </x:c>
      <x:c r="H246" s="14" t="n">
        <x:v>0</x:v>
      </x:c>
      <x:c r="I246" t="str">
        <x:v>Não</x:v>
      </x:c>
      <x:c r="J246" s="14" t="n">
        <x:v>0</x:v>
      </x:c>
      <x:c r="K246" s="14" t="n">
        <x:v>1</x:v>
      </x:c>
      <x:c r="L246" s="14" t="n">
        <x:v>4</x:v>
      </x:c>
      <x:c r="M246" s="12" t="n">
        <x:f>DATE(YEAR(C246),MONTH(C246),1)</x:f>
        <x:v>45566</x:v>
      </x:c>
      <x:c r="N246" t="str">
        <x:f>IF(ABS(E246+H246+J246-K246-L246)&lt;0.001,"OK","REVER")</x:f>
        <x:v>OK</x:v>
      </x:c>
    </x:row>
    <x:row r="247" ht="22" customHeight="1">
      <x:c r="A247" t="n">
        <x:v>3476</x:v>
      </x:c>
      <x:c r="B247" t="str">
        <x:v>Ultimate</x:v>
      </x:c>
      <x:c r="C247" s="10" t="n">
        <x:v>45593</x:v>
      </x:c>
      <x:c r="D247" t="str">
        <x:v>Sim</x:v>
      </x:c>
      <x:c r="E247" s="14" t="n">
        <x:v>15</x:v>
      </x:c>
      <x:c r="F247" t="str">
        <x:v>Trimestral</x:v>
      </x:c>
      <x:c r="G247" t="str">
        <x:v>Sim</x:v>
      </x:c>
      <x:c r="H247" s="14" t="n">
        <x:v>30</x:v>
      </x:c>
      <x:c r="I247" t="str">
        <x:v>Sim</x:v>
      </x:c>
      <x:c r="J247" s="14" t="n">
        <x:v>20</x:v>
      </x:c>
      <x:c r="K247" s="14" t="n">
        <x:v>7</x:v>
      </x:c>
      <x:c r="L247" s="14" t="n">
        <x:v>58</x:v>
      </x:c>
      <x:c r="M247" s="12" t="n">
        <x:f>DATE(YEAR(C247),MONTH(C247),1)</x:f>
        <x:v>45566</x:v>
      </x:c>
      <x:c r="N247" t="str">
        <x:f>IF(ABS(E247+H247+J247-K247-L247)&lt;0.001,"OK","REVER")</x:f>
        <x:v>OK</x:v>
      </x:c>
    </x:row>
    <x:row r="248" ht="22" customHeight="1">
      <x:c r="A248" t="n">
        <x:v>3477</x:v>
      </x:c>
      <x:c r="B248" t="str">
        <x:v>Standard</x:v>
      </x:c>
      <x:c r="C248" s="10" t="n">
        <x:v>45594</x:v>
      </x:c>
      <x:c r="D248" t="str">
        <x:v>Não</x:v>
      </x:c>
      <x:c r="E248" s="14" t="n">
        <x:v>10</x:v>
      </x:c>
      <x:c r="F248" t="str">
        <x:v>Mensal</x:v>
      </x:c>
      <x:c r="G248" t="str">
        <x:v>Não</x:v>
      </x:c>
      <x:c r="H248" s="14" t="n">
        <x:v>0</x:v>
      </x:c>
      <x:c r="I248" t="str">
        <x:v>Sim</x:v>
      </x:c>
      <x:c r="J248" s="14" t="n">
        <x:v>20</x:v>
      </x:c>
      <x:c r="K248" s="14" t="n">
        <x:v>10</x:v>
      </x:c>
      <x:c r="L248" s="14" t="n">
        <x:v>20</x:v>
      </x:c>
      <x:c r="M248" s="12" t="n">
        <x:f>DATE(YEAR(C248),MONTH(C248),1)</x:f>
        <x:v>45566</x:v>
      </x:c>
      <x:c r="N248" t="str">
        <x:f>IF(ABS(E248+H248+J248-K248-L248)&lt;0.001,"OK","REVER")</x:f>
        <x:v>OK</x:v>
      </x:c>
    </x:row>
    <x:row r="249" ht="22" customHeight="1">
      <x:c r="A249" t="n">
        <x:v>3478</x:v>
      </x:c>
      <x:c r="B249" t="str">
        <x:v>Core</x:v>
      </x:c>
      <x:c r="C249" s="10" t="n">
        <x:v>45595</x:v>
      </x:c>
      <x:c r="D249" t="str">
        <x:v>Sim</x:v>
      </x:c>
      <x:c r="E249" s="14" t="n">
        <x:v>5</x:v>
      </x:c>
      <x:c r="F249" t="str">
        <x:v>Anual</x:v>
      </x:c>
      <x:c r="G249" t="str">
        <x:v>Não</x:v>
      </x:c>
      <x:c r="H249" s="14" t="n">
        <x:v>0</x:v>
      </x:c>
      <x:c r="I249" t="str">
        <x:v>Não</x:v>
      </x:c>
      <x:c r="J249" s="14" t="n">
        <x:v>0</x:v>
      </x:c>
      <x:c r="K249" s="14" t="n">
        <x:v>0</x:v>
      </x:c>
      <x:c r="L249" s="14" t="n">
        <x:v>5</x:v>
      </x:c>
      <x:c r="M249" s="12" t="n">
        <x:f>DATE(YEAR(C249),MONTH(C249),1)</x:f>
        <x:v>45566</x:v>
      </x:c>
      <x:c r="N249" t="str">
        <x:f>IF(ABS(E249+H249+J249-K249-L249)&lt;0.001,"OK","REVER")</x:f>
        <x:v>OK</x:v>
      </x:c>
    </x:row>
    <x:row r="250" ht="22" customHeight="1">
      <x:c r="A250" t="n">
        <x:v>3479</x:v>
      </x:c>
      <x:c r="B250" t="str">
        <x:v>Ultimate</x:v>
      </x:c>
      <x:c r="C250" s="10" t="n">
        <x:v>45596</x:v>
      </x:c>
      <x:c r="D250" t="str">
        <x:v>Não</x:v>
      </x:c>
      <x:c r="E250" s="14" t="n">
        <x:v>15</x:v>
      </x:c>
      <x:c r="F250" t="str">
        <x:v>Mensal</x:v>
      </x:c>
      <x:c r="G250" t="str">
        <x:v>Sim</x:v>
      </x:c>
      <x:c r="H250" s="14" t="n">
        <x:v>30</x:v>
      </x:c>
      <x:c r="I250" t="str">
        <x:v>Sim</x:v>
      </x:c>
      <x:c r="J250" s="14" t="n">
        <x:v>20</x:v>
      </x:c>
      <x:c r="K250" s="14" t="n">
        <x:v>20</x:v>
      </x:c>
      <x:c r="L250" s="14" t="n">
        <x:v>45</x:v>
      </x:c>
      <x:c r="M250" s="12" t="n">
        <x:f>DATE(YEAR(C250),MONTH(C250),1)</x:f>
        <x:v>45566</x:v>
      </x:c>
      <x:c r="N250" t="str">
        <x:f>IF(ABS(E250+H250+J250-K250-L250)&lt;0.001,"OK","REVER")</x:f>
        <x:v>OK</x:v>
      </x:c>
    </x:row>
    <x:row r="251" ht="22" customHeight="1">
      <x:c r="A251" t="n">
        <x:v>3480</x:v>
      </x:c>
      <x:c r="B251" t="str">
        <x:v>Standard</x:v>
      </x:c>
      <x:c r="C251" s="10" t="n">
        <x:v>45597</x:v>
      </x:c>
      <x:c r="D251" t="str">
        <x:v>Sim</x:v>
      </x:c>
      <x:c r="E251" s="14" t="n">
        <x:v>10</x:v>
      </x:c>
      <x:c r="F251" t="str">
        <x:v>Trimestral</x:v>
      </x:c>
      <x:c r="G251" t="str">
        <x:v>Não</x:v>
      </x:c>
      <x:c r="H251" s="14" t="n">
        <x:v>0</x:v>
      </x:c>
      <x:c r="I251" t="str">
        <x:v>Sim</x:v>
      </x:c>
      <x:c r="J251" s="14" t="n">
        <x:v>20</x:v>
      </x:c>
      <x:c r="K251" s="14" t="n">
        <x:v>15</x:v>
      </x:c>
      <x:c r="L251" s="14" t="n">
        <x:v>15</x:v>
      </x:c>
      <x:c r="M251" s="12" t="n">
        <x:f>DATE(YEAR(C251),MONTH(C251),1)</x:f>
        <x:v>45597</x:v>
      </x:c>
      <x:c r="N251" t="str">
        <x:f>IF(ABS(E251+H251+J251-K251-L251)&lt;0.001,"OK","REVER")</x:f>
        <x:v>OK</x:v>
      </x:c>
    </x:row>
    <x:row r="252" ht="22" customHeight="1">
      <x:c r="A252" t="n">
        <x:v>3481</x:v>
      </x:c>
      <x:c r="B252" t="str">
        <x:v>Core</x:v>
      </x:c>
      <x:c r="C252" s="10" t="n">
        <x:v>45598</x:v>
      </x:c>
      <x:c r="D252" t="str">
        <x:v>Não</x:v>
      </x:c>
      <x:c r="E252" s="14" t="n">
        <x:v>5</x:v>
      </x:c>
      <x:c r="F252" t="str">
        <x:v>Mensal</x:v>
      </x:c>
      <x:c r="G252" t="str">
        <x:v>Não</x:v>
      </x:c>
      <x:c r="H252" s="14" t="n">
        <x:v>0</x:v>
      </x:c>
      <x:c r="I252" t="str">
        <x:v>Não</x:v>
      </x:c>
      <x:c r="J252" s="14" t="n">
        <x:v>0</x:v>
      </x:c>
      <x:c r="K252" s="14" t="n">
        <x:v>1</x:v>
      </x:c>
      <x:c r="L252" s="14" t="n">
        <x:v>4</x:v>
      </x:c>
      <x:c r="M252" s="12" t="n">
        <x:f>DATE(YEAR(C252),MONTH(C252),1)</x:f>
        <x:v>45597</x:v>
      </x:c>
      <x:c r="N252" t="str">
        <x:f>IF(ABS(E252+H252+J252-K252-L252)&lt;0.001,"OK","REVER")</x:f>
        <x:v>OK</x:v>
      </x:c>
    </x:row>
    <x:row r="253" ht="22" customHeight="1">
      <x:c r="A253" t="n">
        <x:v>3482</x:v>
      </x:c>
      <x:c r="B253" t="str">
        <x:v>Ultimate</x:v>
      </x:c>
      <x:c r="C253" s="10" t="n">
        <x:v>45599</x:v>
      </x:c>
      <x:c r="D253" t="str">
        <x:v>Sim</x:v>
      </x:c>
      <x:c r="E253" s="14" t="n">
        <x:v>15</x:v>
      </x:c>
      <x:c r="F253" t="str">
        <x:v>Anual</x:v>
      </x:c>
      <x:c r="G253" t="str">
        <x:v>Sim</x:v>
      </x:c>
      <x:c r="H253" s="14" t="n">
        <x:v>30</x:v>
      </x:c>
      <x:c r="I253" t="str">
        <x:v>Sim</x:v>
      </x:c>
      <x:c r="J253" s="14" t="n">
        <x:v>20</x:v>
      </x:c>
      <x:c r="K253" s="14" t="n">
        <x:v>3</x:v>
      </x:c>
      <x:c r="L253" s="14" t="n">
        <x:v>62</x:v>
      </x:c>
      <x:c r="M253" s="12" t="n">
        <x:f>DATE(YEAR(C253),MONTH(C253),1)</x:f>
        <x:v>45597</x:v>
      </x:c>
      <x:c r="N253" t="str">
        <x:f>IF(ABS(E253+H253+J253-K253-L253)&lt;0.001,"OK","REVER")</x:f>
        <x:v>OK</x:v>
      </x:c>
    </x:row>
    <x:row r="254" ht="22" customHeight="1">
      <x:c r="A254" t="n">
        <x:v>3483</x:v>
      </x:c>
      <x:c r="B254" t="str">
        <x:v>Standard</x:v>
      </x:c>
      <x:c r="C254" s="10" t="n">
        <x:v>45600</x:v>
      </x:c>
      <x:c r="D254" t="str">
        <x:v>Não</x:v>
      </x:c>
      <x:c r="E254" s="14" t="n">
        <x:v>10</x:v>
      </x:c>
      <x:c r="F254" t="str">
        <x:v>Mensal</x:v>
      </x:c>
      <x:c r="G254" t="str">
        <x:v>Não</x:v>
      </x:c>
      <x:c r="H254" s="14" t="n">
        <x:v>0</x:v>
      </x:c>
      <x:c r="I254" t="str">
        <x:v>Sim</x:v>
      </x:c>
      <x:c r="J254" s="14" t="n">
        <x:v>20</x:v>
      </x:c>
      <x:c r="K254" s="14" t="n">
        <x:v>10</x:v>
      </x:c>
      <x:c r="L254" s="14" t="n">
        <x:v>20</x:v>
      </x:c>
      <x:c r="M254" s="12" t="n">
        <x:f>DATE(YEAR(C254),MONTH(C254),1)</x:f>
        <x:v>45597</x:v>
      </x:c>
      <x:c r="N254" t="str">
        <x:f>IF(ABS(E254+H254+J254-K254-L254)&lt;0.001,"OK","REVER")</x:f>
        <x:v>OK</x:v>
      </x:c>
    </x:row>
    <x:row r="255" ht="22" customHeight="1">
      <x:c r="A255" t="n">
        <x:v>3484</x:v>
      </x:c>
      <x:c r="B255" t="str">
        <x:v>Core</x:v>
      </x:c>
      <x:c r="C255" s="10" t="n">
        <x:v>45601</x:v>
      </x:c>
      <x:c r="D255" t="str">
        <x:v>Sim</x:v>
      </x:c>
      <x:c r="E255" s="14" t="n">
        <x:v>5</x:v>
      </x:c>
      <x:c r="F255" t="str">
        <x:v>Trimestral</x:v>
      </x:c>
      <x:c r="G255" t="str">
        <x:v>Não</x:v>
      </x:c>
      <x:c r="H255" s="14" t="n">
        <x:v>0</x:v>
      </x:c>
      <x:c r="I255" t="str">
        <x:v>Não</x:v>
      </x:c>
      <x:c r="J255" s="14" t="n">
        <x:v>0</x:v>
      </x:c>
      <x:c r="K255" s="14" t="n">
        <x:v>0</x:v>
      </x:c>
      <x:c r="L255" s="14" t="n">
        <x:v>5</x:v>
      </x:c>
      <x:c r="M255" s="12" t="n">
        <x:f>DATE(YEAR(C255),MONTH(C255),1)</x:f>
        <x:v>45597</x:v>
      </x:c>
      <x:c r="N255" t="str">
        <x:f>IF(ABS(E255+H255+J255-K255-L255)&lt;0.001,"OK","REVER")</x:f>
        <x:v>OK</x:v>
      </x:c>
    </x:row>
    <x:row r="256" ht="22" customHeight="1">
      <x:c r="A256" t="n">
        <x:v>3485</x:v>
      </x:c>
      <x:c r="B256" t="str">
        <x:v>Ultimate</x:v>
      </x:c>
      <x:c r="C256" s="10" t="n">
        <x:v>45602</x:v>
      </x:c>
      <x:c r="D256" t="str">
        <x:v>Não</x:v>
      </x:c>
      <x:c r="E256" s="14" t="n">
        <x:v>15</x:v>
      </x:c>
      <x:c r="F256" t="str">
        <x:v>Mensal</x:v>
      </x:c>
      <x:c r="G256" t="str">
        <x:v>Sim</x:v>
      </x:c>
      <x:c r="H256" s="14" t="n">
        <x:v>30</x:v>
      </x:c>
      <x:c r="I256" t="str">
        <x:v>Sim</x:v>
      </x:c>
      <x:c r="J256" s="14" t="n">
        <x:v>20</x:v>
      </x:c>
      <x:c r="K256" s="14" t="n">
        <x:v>15</x:v>
      </x:c>
      <x:c r="L256" s="14" t="n">
        <x:v>50</x:v>
      </x:c>
      <x:c r="M256" s="12" t="n">
        <x:f>DATE(YEAR(C256),MONTH(C256),1)</x:f>
        <x:v>45597</x:v>
      </x:c>
      <x:c r="N256" t="str">
        <x:f>IF(ABS(E256+H256+J256-K256-L256)&lt;0.001,"OK","REVER")</x:f>
        <x:v>OK</x:v>
      </x:c>
    </x:row>
    <x:row r="257" ht="22" customHeight="1">
      <x:c r="A257" t="n">
        <x:v>3486</x:v>
      </x:c>
      <x:c r="B257" t="str">
        <x:v>Core</x:v>
      </x:c>
      <x:c r="C257" s="10" t="n">
        <x:v>45603</x:v>
      </x:c>
      <x:c r="D257" t="str">
        <x:v>Sim</x:v>
      </x:c>
      <x:c r="E257" s="14" t="n">
        <x:v>5</x:v>
      </x:c>
      <x:c r="F257" t="str">
        <x:v>Mensal</x:v>
      </x:c>
      <x:c r="G257" t="str">
        <x:v>Não</x:v>
      </x:c>
      <x:c r="H257" s="14" t="n">
        <x:v>0</x:v>
      </x:c>
      <x:c r="I257" t="str">
        <x:v>Não</x:v>
      </x:c>
      <x:c r="J257" s="14" t="n">
        <x:v>0</x:v>
      </x:c>
      <x:c r="K257" s="14" t="n">
        <x:v>0</x:v>
      </x:c>
      <x:c r="L257" s="14" t="n">
        <x:v>5</x:v>
      </x:c>
      <x:c r="M257" s="12" t="n">
        <x:f>DATE(YEAR(C257),MONTH(C257),1)</x:f>
        <x:v>45597</x:v>
      </x:c>
      <x:c r="N257" t="str">
        <x:f>IF(ABS(E257+H257+J257-K257-L257)&lt;0.001,"OK","REVER")</x:f>
        <x:v>OK</x:v>
      </x:c>
    </x:row>
    <x:row r="258" ht="22" customHeight="1">
      <x:c r="A258" t="n">
        <x:v>3487</x:v>
      </x:c>
      <x:c r="B258" t="str">
        <x:v>Ultimate</x:v>
      </x:c>
      <x:c r="C258" s="10" t="n">
        <x:v>45604</x:v>
      </x:c>
      <x:c r="D258" t="str">
        <x:v>Não</x:v>
      </x:c>
      <x:c r="E258" s="14" t="n">
        <x:v>15</x:v>
      </x:c>
      <x:c r="F258" t="str">
        <x:v>Trimestral</x:v>
      </x:c>
      <x:c r="G258" t="str">
        <x:v>Sim</x:v>
      </x:c>
      <x:c r="H258" s="14" t="n">
        <x:v>30</x:v>
      </x:c>
      <x:c r="I258" t="str">
        <x:v>Sim</x:v>
      </x:c>
      <x:c r="J258" s="14" t="n">
        <x:v>20</x:v>
      </x:c>
      <x:c r="K258" s="14" t="n">
        <x:v>7</x:v>
      </x:c>
      <x:c r="L258" s="14" t="n">
        <x:v>58</x:v>
      </x:c>
      <x:c r="M258" s="12" t="n">
        <x:f>DATE(YEAR(C258),MONTH(C258),1)</x:f>
        <x:v>45597</x:v>
      </x:c>
      <x:c r="N258" t="str">
        <x:f>IF(ABS(E258+H258+J258-K258-L258)&lt;0.001,"OK","REVER")</x:f>
        <x:v>OK</x:v>
      </x:c>
    </x:row>
    <x:row r="259" ht="22" customHeight="1">
      <x:c r="A259" t="n">
        <x:v>3488</x:v>
      </x:c>
      <x:c r="B259" t="str">
        <x:v>Standard</x:v>
      </x:c>
      <x:c r="C259" s="10" t="n">
        <x:v>45605</x:v>
      </x:c>
      <x:c r="D259" t="str">
        <x:v>Sim</x:v>
      </x:c>
      <x:c r="E259" s="14" t="n">
        <x:v>10</x:v>
      </x:c>
      <x:c r="F259" t="str">
        <x:v>Anual</x:v>
      </x:c>
      <x:c r="G259" t="str">
        <x:v>Não</x:v>
      </x:c>
      <x:c r="H259" s="14" t="n">
        <x:v>0</x:v>
      </x:c>
      <x:c r="I259" t="str">
        <x:v>Sim</x:v>
      </x:c>
      <x:c r="J259" s="14" t="n">
        <x:v>20</x:v>
      </x:c>
      <x:c r="K259" s="14" t="n">
        <x:v>10</x:v>
      </x:c>
      <x:c r="L259" s="14" t="n">
        <x:v>20</x:v>
      </x:c>
      <x:c r="M259" s="12" t="n">
        <x:f>DATE(YEAR(C259),MONTH(C259),1)</x:f>
        <x:v>45597</x:v>
      </x:c>
      <x:c r="N259" t="str">
        <x:f>IF(ABS(E259+H259+J259-K259-L259)&lt;0.001,"OK","REVER")</x:f>
        <x:v>OK</x:v>
      </x:c>
    </x:row>
    <x:row r="260" ht="22" customHeight="1">
      <x:c r="A260" t="n">
        <x:v>3489</x:v>
      </x:c>
      <x:c r="B260" t="str">
        <x:v>Core</x:v>
      </x:c>
      <x:c r="C260" s="10" t="n">
        <x:v>45606</x:v>
      </x:c>
      <x:c r="D260" t="str">
        <x:v>Não</x:v>
      </x:c>
      <x:c r="E260" s="14" t="n">
        <x:v>5</x:v>
      </x:c>
      <x:c r="F260" t="str">
        <x:v>Trimestral</x:v>
      </x:c>
      <x:c r="G260" t="str">
        <x:v>Não</x:v>
      </x:c>
      <x:c r="H260" s="14" t="n">
        <x:v>0</x:v>
      </x:c>
      <x:c r="I260" t="str">
        <x:v>Não</x:v>
      </x:c>
      <x:c r="J260" s="14" t="n">
        <x:v>0</x:v>
      </x:c>
      <x:c r="K260" s="14" t="n">
        <x:v>1</x:v>
      </x:c>
      <x:c r="L260" s="14" t="n">
        <x:v>4</x:v>
      </x:c>
      <x:c r="M260" s="12" t="n">
        <x:f>DATE(YEAR(C260),MONTH(C260),1)</x:f>
        <x:v>45597</x:v>
      </x:c>
      <x:c r="N260" t="str">
        <x:f>IF(ABS(E260+H260+J260-K260-L260)&lt;0.001,"OK","REVER")</x:f>
        <x:v>OK</x:v>
      </x:c>
    </x:row>
    <x:row r="261" ht="22" customHeight="1">
      <x:c r="A261" t="n">
        <x:v>3490</x:v>
      </x:c>
      <x:c r="B261" t="str">
        <x:v>Ultimate</x:v>
      </x:c>
      <x:c r="C261" s="10" t="n">
        <x:v>45607</x:v>
      </x:c>
      <x:c r="D261" t="str">
        <x:v>Sim</x:v>
      </x:c>
      <x:c r="E261" s="14" t="n">
        <x:v>15</x:v>
      </x:c>
      <x:c r="F261" t="str">
        <x:v>Mensal</x:v>
      </x:c>
      <x:c r="G261" t="str">
        <x:v>Sim</x:v>
      </x:c>
      <x:c r="H261" s="14" t="n">
        <x:v>30</x:v>
      </x:c>
      <x:c r="I261" t="str">
        <x:v>Sim</x:v>
      </x:c>
      <x:c r="J261" s="14" t="n">
        <x:v>20</x:v>
      </x:c>
      <x:c r="K261" s="14" t="n">
        <x:v>15</x:v>
      </x:c>
      <x:c r="L261" s="14" t="n">
        <x:v>50</x:v>
      </x:c>
      <x:c r="M261" s="12" t="n">
        <x:f>DATE(YEAR(C261),MONTH(C261),1)</x:f>
        <x:v>45597</x:v>
      </x:c>
      <x:c r="N261" t="str">
        <x:f>IF(ABS(E261+H261+J261-K261-L261)&lt;0.001,"OK","REVER")</x:f>
        <x:v>OK</x:v>
      </x:c>
    </x:row>
    <x:row r="262" ht="22" customHeight="1">
      <x:c r="A262" t="n">
        <x:v>3491</x:v>
      </x:c>
      <x:c r="B262" t="str">
        <x:v>Standard</x:v>
      </x:c>
      <x:c r="C262" s="10" t="n">
        <x:v>45608</x:v>
      </x:c>
      <x:c r="D262" t="str">
        <x:v>Não</x:v>
      </x:c>
      <x:c r="E262" s="14" t="n">
        <x:v>10</x:v>
      </x:c>
      <x:c r="F262" t="str">
        <x:v>Mensal</x:v>
      </x:c>
      <x:c r="G262" t="str">
        <x:v>Não</x:v>
      </x:c>
      <x:c r="H262" s="14" t="n">
        <x:v>0</x:v>
      </x:c>
      <x:c r="I262" t="str">
        <x:v>Sim</x:v>
      </x:c>
      <x:c r="J262" s="14" t="n">
        <x:v>20</x:v>
      </x:c>
      <x:c r="K262" s="14" t="n">
        <x:v>5</x:v>
      </x:c>
      <x:c r="L262" s="14" t="n">
        <x:v>25</x:v>
      </x:c>
      <x:c r="M262" s="12" t="n">
        <x:f>DATE(YEAR(C262),MONTH(C262),1)</x:f>
        <x:v>45597</x:v>
      </x:c>
      <x:c r="N262" t="str">
        <x:f>IF(ABS(E262+H262+J262-K262-L262)&lt;0.001,"OK","REVER")</x:f>
        <x:v>OK</x:v>
      </x:c>
    </x:row>
    <x:row r="263" ht="22" customHeight="1">
      <x:c r="A263" t="n">
        <x:v>3492</x:v>
      </x:c>
      <x:c r="B263" t="str">
        <x:v>Core</x:v>
      </x:c>
      <x:c r="C263" s="10" t="n">
        <x:v>45609</x:v>
      </x:c>
      <x:c r="D263" t="str">
        <x:v>Sim</x:v>
      </x:c>
      <x:c r="E263" s="14" t="n">
        <x:v>5</x:v>
      </x:c>
      <x:c r="F263" t="str">
        <x:v>Anual</x:v>
      </x:c>
      <x:c r="G263" t="str">
        <x:v>Não</x:v>
      </x:c>
      <x:c r="H263" s="14" t="n">
        <x:v>0</x:v>
      </x:c>
      <x:c r="I263" t="str">
        <x:v>Não</x:v>
      </x:c>
      <x:c r="J263" s="14" t="n">
        <x:v>0</x:v>
      </x:c>
      <x:c r="K263" s="14" t="n">
        <x:v>0</x:v>
      </x:c>
      <x:c r="L263" s="14" t="n">
        <x:v>5</x:v>
      </x:c>
      <x:c r="M263" s="12" t="n">
        <x:f>DATE(YEAR(C263),MONTH(C263),1)</x:f>
        <x:v>45597</x:v>
      </x:c>
      <x:c r="N263" t="str">
        <x:f>IF(ABS(E263+H263+J263-K263-L263)&lt;0.001,"OK","REVER")</x:f>
        <x:v>OK</x:v>
      </x:c>
    </x:row>
    <x:row r="264" ht="22" customHeight="1">
      <x:c r="A264" t="n">
        <x:v>3493</x:v>
      </x:c>
      <x:c r="B264" t="str">
        <x:v>Ultimate</x:v>
      </x:c>
      <x:c r="C264" s="10" t="n">
        <x:v>45610</x:v>
      </x:c>
      <x:c r="D264" t="str">
        <x:v>Não</x:v>
      </x:c>
      <x:c r="E264" s="14" t="n">
        <x:v>15</x:v>
      </x:c>
      <x:c r="F264" t="str">
        <x:v>Trimestral</x:v>
      </x:c>
      <x:c r="G264" t="str">
        <x:v>Sim</x:v>
      </x:c>
      <x:c r="H264" s="14" t="n">
        <x:v>30</x:v>
      </x:c>
      <x:c r="I264" t="str">
        <x:v>Sim</x:v>
      </x:c>
      <x:c r="J264" s="14" t="n">
        <x:v>20</x:v>
      </x:c>
      <x:c r="K264" s="14" t="n">
        <x:v>20</x:v>
      </x:c>
      <x:c r="L264" s="14" t="n">
        <x:v>45</x:v>
      </x:c>
      <x:c r="M264" s="12" t="n">
        <x:f>DATE(YEAR(C264),MONTH(C264),1)</x:f>
        <x:v>45597</x:v>
      </x:c>
      <x:c r="N264" t="str">
        <x:f>IF(ABS(E264+H264+J264-K264-L264)&lt;0.001,"OK","REVER")</x:f>
        <x:v>OK</x:v>
      </x:c>
    </x:row>
    <x:row r="265" ht="22" customHeight="1">
      <x:c r="A265" t="n">
        <x:v>3494</x:v>
      </x:c>
      <x:c r="B265" t="str">
        <x:v>Standard</x:v>
      </x:c>
      <x:c r="C265" s="10" t="n">
        <x:v>45611</x:v>
      </x:c>
      <x:c r="D265" t="str">
        <x:v>Sim</x:v>
      </x:c>
      <x:c r="E265" s="14" t="n">
        <x:v>10</x:v>
      </x:c>
      <x:c r="F265" t="str">
        <x:v>Trimestral</x:v>
      </x:c>
      <x:c r="G265" t="str">
        <x:v>Não</x:v>
      </x:c>
      <x:c r="H265" s="14" t="n">
        <x:v>0</x:v>
      </x:c>
      <x:c r="I265" t="str">
        <x:v>Sim</x:v>
      </x:c>
      <x:c r="J265" s="14" t="n">
        <x:v>20</x:v>
      </x:c>
      <x:c r="K265" s="14" t="n">
        <x:v>12</x:v>
      </x:c>
      <x:c r="L265" s="14" t="n">
        <x:v>18</x:v>
      </x:c>
      <x:c r="M265" s="12" t="n">
        <x:f>DATE(YEAR(C265),MONTH(C265),1)</x:f>
        <x:v>45597</x:v>
      </x:c>
      <x:c r="N265" t="str">
        <x:f>IF(ABS(E265+H265+J265-K265-L265)&lt;0.001,"OK","REVER")</x:f>
        <x:v>OK</x:v>
      </x:c>
    </x:row>
    <x:row r="266" ht="22" customHeight="1">
      <x:c r="A266" t="n">
        <x:v>3495</x:v>
      </x:c>
      <x:c r="B266" t="str">
        <x:v>Core</x:v>
      </x:c>
      <x:c r="C266" s="10" t="n">
        <x:v>45612</x:v>
      </x:c>
      <x:c r="D266" t="str">
        <x:v>Não</x:v>
      </x:c>
      <x:c r="E266" s="14" t="n">
        <x:v>5</x:v>
      </x:c>
      <x:c r="F266" t="str">
        <x:v>Mensal</x:v>
      </x:c>
      <x:c r="G266" t="str">
        <x:v>Não</x:v>
      </x:c>
      <x:c r="H266" s="14" t="n">
        <x:v>0</x:v>
      </x:c>
      <x:c r="I266" t="str">
        <x:v>Não</x:v>
      </x:c>
      <x:c r="J266" s="14" t="n">
        <x:v>0</x:v>
      </x:c>
      <x:c r="K266" s="14" t="n">
        <x:v>2</x:v>
      </x:c>
      <x:c r="L266" s="14" t="n">
        <x:v>3</x:v>
      </x:c>
      <x:c r="M266" s="12" t="n">
        <x:f>DATE(YEAR(C266),MONTH(C266),1)</x:f>
        <x:v>45597</x:v>
      </x:c>
      <x:c r="N266" t="str">
        <x:f>IF(ABS(E266+H266+J266-K266-L266)&lt;0.001,"OK","REVER")</x:f>
        <x:v>OK</x:v>
      </x:c>
    </x:row>
    <x:row r="267" ht="22" customHeight="1">
      <x:c r="A267" t="n">
        <x:v>3496</x:v>
      </x:c>
      <x:c r="B267" t="str">
        <x:v>Ultimate</x:v>
      </x:c>
      <x:c r="C267" s="10" t="n">
        <x:v>45613</x:v>
      </x:c>
      <x:c r="D267" t="str">
        <x:v>Sim</x:v>
      </x:c>
      <x:c r="E267" s="14" t="n">
        <x:v>15</x:v>
      </x:c>
      <x:c r="F267" t="str">
        <x:v>Anual</x:v>
      </x:c>
      <x:c r="G267" t="str">
        <x:v>Sim</x:v>
      </x:c>
      <x:c r="H267" s="14" t="n">
        <x:v>30</x:v>
      </x:c>
      <x:c r="I267" t="str">
        <x:v>Sim</x:v>
      </x:c>
      <x:c r="J267" s="14" t="n">
        <x:v>20</x:v>
      </x:c>
      <x:c r="K267" s="14" t="n">
        <x:v>5</x:v>
      </x:c>
      <x:c r="L267" s="14" t="n">
        <x:v>60</x:v>
      </x:c>
      <x:c r="M267" s="12" t="n">
        <x:f>DATE(YEAR(C267),MONTH(C267),1)</x:f>
        <x:v>45597</x:v>
      </x:c>
      <x:c r="N267" t="str">
        <x:f>IF(ABS(E267+H267+J267-K267-L267)&lt;0.001,"OK","REVER")</x:f>
        <x:v>OK</x:v>
      </x:c>
    </x:row>
    <x:row r="268" ht="22" customHeight="1">
      <x:c r="A268" t="n">
        <x:v>3497</x:v>
      </x:c>
      <x:c r="B268" t="str">
        <x:v>Standard</x:v>
      </x:c>
      <x:c r="C268" s="10" t="n">
        <x:v>45614</x:v>
      </x:c>
      <x:c r="D268" t="str">
        <x:v>Não</x:v>
      </x:c>
      <x:c r="E268" s="14" t="n">
        <x:v>10</x:v>
      </x:c>
      <x:c r="F268" t="str">
        <x:v>Mensal</x:v>
      </x:c>
      <x:c r="G268" t="str">
        <x:v>Não</x:v>
      </x:c>
      <x:c r="H268" s="14" t="n">
        <x:v>0</x:v>
      </x:c>
      <x:c r="I268" t="str">
        <x:v>Sim</x:v>
      </x:c>
      <x:c r="J268" s="14" t="n">
        <x:v>20</x:v>
      </x:c>
      <x:c r="K268" s="14" t="n">
        <x:v>10</x:v>
      </x:c>
      <x:c r="L268" s="14" t="n">
        <x:v>20</x:v>
      </x:c>
      <x:c r="M268" s="12" t="n">
        <x:f>DATE(YEAR(C268),MONTH(C268),1)</x:f>
        <x:v>45597</x:v>
      </x:c>
      <x:c r="N268" t="str">
        <x:f>IF(ABS(E268+H268+J268-K268-L268)&lt;0.001,"OK","REVER")</x:f>
        <x:v>OK</x:v>
      </x:c>
    </x:row>
    <x:row r="269" ht="22" customHeight="1">
      <x:c r="A269" t="n">
        <x:v>3498</x:v>
      </x:c>
      <x:c r="B269" t="str">
        <x:v>Core</x:v>
      </x:c>
      <x:c r="C269" s="10" t="n">
        <x:v>45615</x:v>
      </x:c>
      <x:c r="D269" t="str">
        <x:v>Sim</x:v>
      </x:c>
      <x:c r="E269" s="14" t="n">
        <x:v>5</x:v>
      </x:c>
      <x:c r="F269" t="str">
        <x:v>Trimestral</x:v>
      </x:c>
      <x:c r="G269" t="str">
        <x:v>Não</x:v>
      </x:c>
      <x:c r="H269" s="14" t="n">
        <x:v>0</x:v>
      </x:c>
      <x:c r="I269" t="str">
        <x:v>Não</x:v>
      </x:c>
      <x:c r="J269" s="14" t="n">
        <x:v>0</x:v>
      </x:c>
      <x:c r="K269" s="14" t="n">
        <x:v>0</x:v>
      </x:c>
      <x:c r="L269" s="14" t="n">
        <x:v>5</x:v>
      </x:c>
      <x:c r="M269" s="12" t="n">
        <x:f>DATE(YEAR(C269),MONTH(C269),1)</x:f>
        <x:v>45597</x:v>
      </x:c>
      <x:c r="N269" t="str">
        <x:f>IF(ABS(E269+H269+J269-K269-L269)&lt;0.001,"OK","REVER")</x:f>
        <x:v>OK</x:v>
      </x:c>
    </x:row>
    <x:row r="270" ht="22" customHeight="1">
      <x:c r="A270" t="n">
        <x:v>3499</x:v>
      </x:c>
      <x:c r="B270" t="str">
        <x:v>Ultimate</x:v>
      </x:c>
      <x:c r="C270" s="10" t="n">
        <x:v>45616</x:v>
      </x:c>
      <x:c r="D270" t="str">
        <x:v>Não</x:v>
      </x:c>
      <x:c r="E270" s="14" t="n">
        <x:v>15</x:v>
      </x:c>
      <x:c r="F270" t="str">
        <x:v>Mensal</x:v>
      </x:c>
      <x:c r="G270" t="str">
        <x:v>Sim</x:v>
      </x:c>
      <x:c r="H270" s="14" t="n">
        <x:v>30</x:v>
      </x:c>
      <x:c r="I270" t="str">
        <x:v>Sim</x:v>
      </x:c>
      <x:c r="J270" s="14" t="n">
        <x:v>20</x:v>
      </x:c>
      <x:c r="K270" s="14" t="n">
        <x:v>3</x:v>
      </x:c>
      <x:c r="L270" s="14" t="n">
        <x:v>62</x:v>
      </x:c>
      <x:c r="M270" s="12" t="n">
        <x:f>DATE(YEAR(C270),MONTH(C270),1)</x:f>
        <x:v>45597</x:v>
      </x:c>
      <x:c r="N270" t="str">
        <x:f>IF(ABS(E270+H270+J270-K270-L270)&lt;0.001,"OK","REVER")</x:f>
        <x:v>OK</x:v>
      </x:c>
    </x:row>
    <x:row r="271" ht="22" customHeight="1">
      <x:c r="A271" t="n">
        <x:v>3500</x:v>
      </x:c>
      <x:c r="B271" t="str">
        <x:v>Standard</x:v>
      </x:c>
      <x:c r="C271" s="10" t="n">
        <x:v>45617</x:v>
      </x:c>
      <x:c r="D271" t="str">
        <x:v>Sim</x:v>
      </x:c>
      <x:c r="E271" s="14" t="n">
        <x:v>10</x:v>
      </x:c>
      <x:c r="F271" t="str">
        <x:v>Anual</x:v>
      </x:c>
      <x:c r="G271" t="str">
        <x:v>Não</x:v>
      </x:c>
      <x:c r="H271" s="14" t="n">
        <x:v>0</x:v>
      </x:c>
      <x:c r="I271" t="str">
        <x:v>Sim</x:v>
      </x:c>
      <x:c r="J271" s="14" t="n">
        <x:v>20</x:v>
      </x:c>
      <x:c r="K271" s="14" t="n">
        <x:v>15</x:v>
      </x:c>
      <x:c r="L271" s="14" t="n">
        <x:v>15</x:v>
      </x:c>
      <x:c r="M271" s="12" t="n">
        <x:f>DATE(YEAR(C271),MONTH(C271),1)</x:f>
        <x:v>45597</x:v>
      </x:c>
      <x:c r="N271" t="str">
        <x:f>IF(ABS(E271+H271+J271-K271-L271)&lt;0.001,"OK","REVER")</x:f>
        <x:v>OK</x:v>
      </x:c>
    </x:row>
    <x:row r="272" ht="22" customHeight="1">
      <x:c r="A272" t="n">
        <x:v>3501</x:v>
      </x:c>
      <x:c r="B272" t="str">
        <x:v>Core</x:v>
      </x:c>
      <x:c r="C272" s="10" t="n">
        <x:v>45618</x:v>
      </x:c>
      <x:c r="D272" t="str">
        <x:v>Não</x:v>
      </x:c>
      <x:c r="E272" s="14" t="n">
        <x:v>5</x:v>
      </x:c>
      <x:c r="F272" t="str">
        <x:v>Mensal</x:v>
      </x:c>
      <x:c r="G272" t="str">
        <x:v>Não</x:v>
      </x:c>
      <x:c r="H272" s="14" t="n">
        <x:v>0</x:v>
      </x:c>
      <x:c r="I272" t="str">
        <x:v>Não</x:v>
      </x:c>
      <x:c r="J272" s="14" t="n">
        <x:v>0</x:v>
      </x:c>
      <x:c r="K272" s="14" t="n">
        <x:v>1</x:v>
      </x:c>
      <x:c r="L272" s="14" t="n">
        <x:v>4</x:v>
      </x:c>
      <x:c r="M272" s="12" t="n">
        <x:f>DATE(YEAR(C272),MONTH(C272),1)</x:f>
        <x:v>45597</x:v>
      </x:c>
      <x:c r="N272" t="str">
        <x:f>IF(ABS(E272+H272+J272-K272-L272)&lt;0.001,"OK","REVER")</x:f>
        <x:v>OK</x:v>
      </x:c>
    </x:row>
    <x:row r="273" ht="22" customHeight="1">
      <x:c r="A273" t="n">
        <x:v>3502</x:v>
      </x:c>
      <x:c r="B273" t="str">
        <x:v>Ultimate</x:v>
      </x:c>
      <x:c r="C273" s="10" t="n">
        <x:v>45619</x:v>
      </x:c>
      <x:c r="D273" t="str">
        <x:v>Sim</x:v>
      </x:c>
      <x:c r="E273" s="14" t="n">
        <x:v>15</x:v>
      </x:c>
      <x:c r="F273" t="str">
        <x:v>Trimestral</x:v>
      </x:c>
      <x:c r="G273" t="str">
        <x:v>Sim</x:v>
      </x:c>
      <x:c r="H273" s="14" t="n">
        <x:v>30</x:v>
      </x:c>
      <x:c r="I273" t="str">
        <x:v>Sim</x:v>
      </x:c>
      <x:c r="J273" s="14" t="n">
        <x:v>20</x:v>
      </x:c>
      <x:c r="K273" s="14" t="n">
        <x:v>7</x:v>
      </x:c>
      <x:c r="L273" s="14" t="n">
        <x:v>58</x:v>
      </x:c>
      <x:c r="M273" s="12" t="n">
        <x:f>DATE(YEAR(C273),MONTH(C273),1)</x:f>
        <x:v>45597</x:v>
      </x:c>
      <x:c r="N273" t="str">
        <x:f>IF(ABS(E273+H273+J273-K273-L273)&lt;0.001,"OK","REVER")</x:f>
        <x:v>OK</x:v>
      </x:c>
    </x:row>
    <x:row r="274" ht="22" customHeight="1">
      <x:c r="A274" t="n">
        <x:v>3503</x:v>
      </x:c>
      <x:c r="B274" t="str">
        <x:v>Standard</x:v>
      </x:c>
      <x:c r="C274" s="10" t="n">
        <x:v>45620</x:v>
      </x:c>
      <x:c r="D274" t="str">
        <x:v>Não</x:v>
      </x:c>
      <x:c r="E274" s="14" t="n">
        <x:v>10</x:v>
      </x:c>
      <x:c r="F274" t="str">
        <x:v>Mensal</x:v>
      </x:c>
      <x:c r="G274" t="str">
        <x:v>Não</x:v>
      </x:c>
      <x:c r="H274" s="14" t="n">
        <x:v>0</x:v>
      </x:c>
      <x:c r="I274" t="str">
        <x:v>Sim</x:v>
      </x:c>
      <x:c r="J274" s="14" t="n">
        <x:v>20</x:v>
      </x:c>
      <x:c r="K274" s="14" t="n">
        <x:v>10</x:v>
      </x:c>
      <x:c r="L274" s="14" t="n">
        <x:v>20</x:v>
      </x:c>
      <x:c r="M274" s="12" t="n">
        <x:f>DATE(YEAR(C274),MONTH(C274),1)</x:f>
        <x:v>45597</x:v>
      </x:c>
      <x:c r="N274" t="str">
        <x:f>IF(ABS(E274+H274+J274-K274-L274)&lt;0.001,"OK","REVER")</x:f>
        <x:v>OK</x:v>
      </x:c>
    </x:row>
    <x:row r="275" ht="22" customHeight="1">
      <x:c r="A275" t="n">
        <x:v>3504</x:v>
      </x:c>
      <x:c r="B275" t="str">
        <x:v>Core</x:v>
      </x:c>
      <x:c r="C275" s="10" t="n">
        <x:v>45621</x:v>
      </x:c>
      <x:c r="D275" t="str">
        <x:v>Sim</x:v>
      </x:c>
      <x:c r="E275" s="14" t="n">
        <x:v>5</x:v>
      </x:c>
      <x:c r="F275" t="str">
        <x:v>Anual</x:v>
      </x:c>
      <x:c r="G275" t="str">
        <x:v>Não</x:v>
      </x:c>
      <x:c r="H275" s="14" t="n">
        <x:v>0</x:v>
      </x:c>
      <x:c r="I275" t="str">
        <x:v>Não</x:v>
      </x:c>
      <x:c r="J275" s="14" t="n">
        <x:v>0</x:v>
      </x:c>
      <x:c r="K275" s="14" t="n">
        <x:v>0</x:v>
      </x:c>
      <x:c r="L275" s="14" t="n">
        <x:v>5</x:v>
      </x:c>
      <x:c r="M275" s="12" t="n">
        <x:f>DATE(YEAR(C275),MONTH(C275),1)</x:f>
        <x:v>45597</x:v>
      </x:c>
      <x:c r="N275" t="str">
        <x:f>IF(ABS(E275+H275+J275-K275-L275)&lt;0.001,"OK","REVER")</x:f>
        <x:v>OK</x:v>
      </x:c>
    </x:row>
    <x:row r="276" ht="22" customHeight="1">
      <x:c r="A276" t="n">
        <x:v>3505</x:v>
      </x:c>
      <x:c r="B276" t="str">
        <x:v>Ultimate</x:v>
      </x:c>
      <x:c r="C276" s="10" t="n">
        <x:v>45622</x:v>
      </x:c>
      <x:c r="D276" t="str">
        <x:v>Não</x:v>
      </x:c>
      <x:c r="E276" s="14" t="n">
        <x:v>15</x:v>
      </x:c>
      <x:c r="F276" t="str">
        <x:v>Mensal</x:v>
      </x:c>
      <x:c r="G276" t="str">
        <x:v>Sim</x:v>
      </x:c>
      <x:c r="H276" s="14" t="n">
        <x:v>30</x:v>
      </x:c>
      <x:c r="I276" t="str">
        <x:v>Sim</x:v>
      </x:c>
      <x:c r="J276" s="14" t="n">
        <x:v>20</x:v>
      </x:c>
      <x:c r="K276" s="14" t="n">
        <x:v>20</x:v>
      </x:c>
      <x:c r="L276" s="14" t="n">
        <x:v>45</x:v>
      </x:c>
      <x:c r="M276" s="12" t="n">
        <x:f>DATE(YEAR(C276),MONTH(C276),1)</x:f>
        <x:v>45597</x:v>
      </x:c>
      <x:c r="N276" t="str">
        <x:f>IF(ABS(E276+H276+J276-K276-L276)&lt;0.001,"OK","REVER")</x:f>
        <x:v>OK</x:v>
      </x:c>
    </x:row>
    <x:row r="277" ht="22" customHeight="1">
      <x:c r="A277" t="n">
        <x:v>3506</x:v>
      </x:c>
      <x:c r="B277" t="str">
        <x:v>Standard</x:v>
      </x:c>
      <x:c r="C277" s="10" t="n">
        <x:v>45623</x:v>
      </x:c>
      <x:c r="D277" t="str">
        <x:v>Sim</x:v>
      </x:c>
      <x:c r="E277" s="14" t="n">
        <x:v>10</x:v>
      </x:c>
      <x:c r="F277" t="str">
        <x:v>Trimestral</x:v>
      </x:c>
      <x:c r="G277" t="str">
        <x:v>Não</x:v>
      </x:c>
      <x:c r="H277" s="14" t="n">
        <x:v>0</x:v>
      </x:c>
      <x:c r="I277" t="str">
        <x:v>Sim</x:v>
      </x:c>
      <x:c r="J277" s="14" t="n">
        <x:v>20</x:v>
      </x:c>
      <x:c r="K277" s="14" t="n">
        <x:v>15</x:v>
      </x:c>
      <x:c r="L277" s="14" t="n">
        <x:v>15</x:v>
      </x:c>
      <x:c r="M277" s="12" t="n">
        <x:f>DATE(YEAR(C277),MONTH(C277),1)</x:f>
        <x:v>45597</x:v>
      </x:c>
      <x:c r="N277" t="str">
        <x:f>IF(ABS(E277+H277+J277-K277-L277)&lt;0.001,"OK","REVER")</x:f>
        <x:v>OK</x:v>
      </x:c>
    </x:row>
    <x:row r="278" ht="22" customHeight="1">
      <x:c r="A278" t="n">
        <x:v>3507</x:v>
      </x:c>
      <x:c r="B278" t="str">
        <x:v>Core</x:v>
      </x:c>
      <x:c r="C278" s="10" t="n">
        <x:v>45624</x:v>
      </x:c>
      <x:c r="D278" t="str">
        <x:v>Não</x:v>
      </x:c>
      <x:c r="E278" s="14" t="n">
        <x:v>5</x:v>
      </x:c>
      <x:c r="F278" t="str">
        <x:v>Mensal</x:v>
      </x:c>
      <x:c r="G278" t="str">
        <x:v>Não</x:v>
      </x:c>
      <x:c r="H278" s="14" t="n">
        <x:v>0</x:v>
      </x:c>
      <x:c r="I278" t="str">
        <x:v>Não</x:v>
      </x:c>
      <x:c r="J278" s="14" t="n">
        <x:v>0</x:v>
      </x:c>
      <x:c r="K278" s="14" t="n">
        <x:v>1</x:v>
      </x:c>
      <x:c r="L278" s="14" t="n">
        <x:v>4</x:v>
      </x:c>
      <x:c r="M278" s="12" t="n">
        <x:f>DATE(YEAR(C278),MONTH(C278),1)</x:f>
        <x:v>45597</x:v>
      </x:c>
      <x:c r="N278" t="str">
        <x:f>IF(ABS(E278+H278+J278-K278-L278)&lt;0.001,"OK","REVER")</x:f>
        <x:v>OK</x:v>
      </x:c>
    </x:row>
    <x:row r="279" ht="22" customHeight="1">
      <x:c r="A279" t="n">
        <x:v>3508</x:v>
      </x:c>
      <x:c r="B279" t="str">
        <x:v>Ultimate</x:v>
      </x:c>
      <x:c r="C279" s="10" t="n">
        <x:v>45625</x:v>
      </x:c>
      <x:c r="D279" t="str">
        <x:v>Sim</x:v>
      </x:c>
      <x:c r="E279" s="14" t="n">
        <x:v>15</x:v>
      </x:c>
      <x:c r="F279" t="str">
        <x:v>Anual</x:v>
      </x:c>
      <x:c r="G279" t="str">
        <x:v>Sim</x:v>
      </x:c>
      <x:c r="H279" s="14" t="n">
        <x:v>30</x:v>
      </x:c>
      <x:c r="I279" t="str">
        <x:v>Sim</x:v>
      </x:c>
      <x:c r="J279" s="14" t="n">
        <x:v>20</x:v>
      </x:c>
      <x:c r="K279" s="14" t="n">
        <x:v>3</x:v>
      </x:c>
      <x:c r="L279" s="14" t="n">
        <x:v>62</x:v>
      </x:c>
      <x:c r="M279" s="12" t="n">
        <x:f>DATE(YEAR(C279),MONTH(C279),1)</x:f>
        <x:v>45597</x:v>
      </x:c>
      <x:c r="N279" t="str">
        <x:f>IF(ABS(E279+H279+J279-K279-L279)&lt;0.001,"OK","REVER")</x:f>
        <x:v>OK</x:v>
      </x:c>
    </x:row>
    <x:row r="280" ht="22" customHeight="1">
      <x:c r="A280" t="n">
        <x:v>3509</x:v>
      </x:c>
      <x:c r="B280" t="str">
        <x:v>Standard</x:v>
      </x:c>
      <x:c r="C280" s="10" t="n">
        <x:v>45626</x:v>
      </x:c>
      <x:c r="D280" t="str">
        <x:v>Não</x:v>
      </x:c>
      <x:c r="E280" s="14" t="n">
        <x:v>10</x:v>
      </x:c>
      <x:c r="F280" t="str">
        <x:v>Mensal</x:v>
      </x:c>
      <x:c r="G280" t="str">
        <x:v>Não</x:v>
      </x:c>
      <x:c r="H280" s="14" t="n">
        <x:v>0</x:v>
      </x:c>
      <x:c r="I280" t="str">
        <x:v>Sim</x:v>
      </x:c>
      <x:c r="J280" s="14" t="n">
        <x:v>20</x:v>
      </x:c>
      <x:c r="K280" s="14" t="n">
        <x:v>10</x:v>
      </x:c>
      <x:c r="L280" s="14" t="n">
        <x:v>20</x:v>
      </x:c>
      <x:c r="M280" s="12" t="n">
        <x:f>DATE(YEAR(C280),MONTH(C280),1)</x:f>
        <x:v>45597</x:v>
      </x:c>
      <x:c r="N280" t="str">
        <x:f>IF(ABS(E280+H280+J280-K280-L280)&lt;0.001,"OK","REVER")</x:f>
        <x:v>OK</x:v>
      </x:c>
    </x:row>
    <x:row r="281" ht="22" customHeight="1">
      <x:c r="A281" t="n">
        <x:v>3510</x:v>
      </x:c>
      <x:c r="B281" t="str">
        <x:v>Core</x:v>
      </x:c>
      <x:c r="C281" s="10" t="n">
        <x:v>45627</x:v>
      </x:c>
      <x:c r="D281" t="str">
        <x:v>Sim</x:v>
      </x:c>
      <x:c r="E281" s="14" t="n">
        <x:v>5</x:v>
      </x:c>
      <x:c r="F281" t="str">
        <x:v>Trimestral</x:v>
      </x:c>
      <x:c r="G281" t="str">
        <x:v>Não</x:v>
      </x:c>
      <x:c r="H281" s="14" t="n">
        <x:v>0</x:v>
      </x:c>
      <x:c r="I281" t="str">
        <x:v>Não</x:v>
      </x:c>
      <x:c r="J281" s="14" t="n">
        <x:v>0</x:v>
      </x:c>
      <x:c r="K281" s="14" t="n">
        <x:v>0</x:v>
      </x:c>
      <x:c r="L281" s="14" t="n">
        <x:v>5</x:v>
      </x:c>
      <x:c r="M281" s="12" t="n">
        <x:f>DATE(YEAR(C281),MONTH(C281),1)</x:f>
        <x:v>45627</x:v>
      </x:c>
      <x:c r="N281" t="str">
        <x:f>IF(ABS(E281+H281+J281-K281-L281)&lt;0.001,"OK","REVER")</x:f>
        <x:v>OK</x:v>
      </x:c>
    </x:row>
    <x:row r="282" ht="22" customHeight="1">
      <x:c r="A282" t="n">
        <x:v>3511</x:v>
      </x:c>
      <x:c r="B282" t="str">
        <x:v>Ultimate</x:v>
      </x:c>
      <x:c r="C282" s="10" t="n">
        <x:v>45628</x:v>
      </x:c>
      <x:c r="D282" t="str">
        <x:v>Não</x:v>
      </x:c>
      <x:c r="E282" s="14" t="n">
        <x:v>15</x:v>
      </x:c>
      <x:c r="F282" t="str">
        <x:v>Mensal</x:v>
      </x:c>
      <x:c r="G282" t="str">
        <x:v>Sim</x:v>
      </x:c>
      <x:c r="H282" s="14" t="n">
        <x:v>30</x:v>
      </x:c>
      <x:c r="I282" t="str">
        <x:v>Sim</x:v>
      </x:c>
      <x:c r="J282" s="14" t="n">
        <x:v>20</x:v>
      </x:c>
      <x:c r="K282" s="14" t="n">
        <x:v>15</x:v>
      </x:c>
      <x:c r="L282" s="14" t="n">
        <x:v>50</x:v>
      </x:c>
      <x:c r="M282" s="12" t="n">
        <x:f>DATE(YEAR(C282),MONTH(C282),1)</x:f>
        <x:v>45627</x:v>
      </x:c>
      <x:c r="N282" t="str">
        <x:f>IF(ABS(E282+H282+J282-K282-L282)&lt;0.001,"OK","REVER")</x:f>
        <x:v>OK</x:v>
      </x:c>
    </x:row>
    <x:row r="283" ht="22" customHeight="1">
      <x:c r="A283" t="n">
        <x:v>3512</x:v>
      </x:c>
      <x:c r="B283" t="str">
        <x:v>Standard</x:v>
      </x:c>
      <x:c r="C283" s="10" t="n">
        <x:v>45629</x:v>
      </x:c>
      <x:c r="D283" t="str">
        <x:v>Sim</x:v>
      </x:c>
      <x:c r="E283" s="14" t="n">
        <x:v>10</x:v>
      </x:c>
      <x:c r="F283" t="str">
        <x:v>Anual</x:v>
      </x:c>
      <x:c r="G283" t="str">
        <x:v>Não</x:v>
      </x:c>
      <x:c r="H283" s="14" t="n">
        <x:v>0</x:v>
      </x:c>
      <x:c r="I283" t="str">
        <x:v>Sim</x:v>
      </x:c>
      <x:c r="J283" s="14" t="n">
        <x:v>20</x:v>
      </x:c>
      <x:c r="K283" s="14" t="n">
        <x:v>15</x:v>
      </x:c>
      <x:c r="L283" s="14" t="n">
        <x:v>15</x:v>
      </x:c>
      <x:c r="M283" s="12" t="n">
        <x:f>DATE(YEAR(C283),MONTH(C283),1)</x:f>
        <x:v>45627</x:v>
      </x:c>
      <x:c r="N283" t="str">
        <x:f>IF(ABS(E283+H283+J283-K283-L283)&lt;0.001,"OK","REVER")</x:f>
        <x:v>OK</x:v>
      </x:c>
    </x:row>
    <x:row r="284" ht="22" customHeight="1">
      <x:c r="A284" t="n">
        <x:v>3513</x:v>
      </x:c>
      <x:c r="B284" t="str">
        <x:v>Core</x:v>
      </x:c>
      <x:c r="C284" s="10" t="n">
        <x:v>45630</x:v>
      </x:c>
      <x:c r="D284" t="str">
        <x:v>Não</x:v>
      </x:c>
      <x:c r="E284" s="14" t="n">
        <x:v>5</x:v>
      </x:c>
      <x:c r="F284" t="str">
        <x:v>Mensal</x:v>
      </x:c>
      <x:c r="G284" t="str">
        <x:v>Não</x:v>
      </x:c>
      <x:c r="H284" s="14" t="n">
        <x:v>0</x:v>
      </x:c>
      <x:c r="I284" t="str">
        <x:v>Não</x:v>
      </x:c>
      <x:c r="J284" s="14" t="n">
        <x:v>0</x:v>
      </x:c>
      <x:c r="K284" s="14" t="n">
        <x:v>1</x:v>
      </x:c>
      <x:c r="L284" s="14" t="n">
        <x:v>4</x:v>
      </x:c>
      <x:c r="M284" s="12" t="n">
        <x:f>DATE(YEAR(C284),MONTH(C284),1)</x:f>
        <x:v>45627</x:v>
      </x:c>
      <x:c r="N284" t="str">
        <x:f>IF(ABS(E284+H284+J284-K284-L284)&lt;0.001,"OK","REVER")</x:f>
        <x:v>OK</x:v>
      </x:c>
    </x:row>
    <x:row r="285" ht="22" customHeight="1">
      <x:c r="A285" t="n">
        <x:v>3514</x:v>
      </x:c>
      <x:c r="B285" t="str">
        <x:v>Ultimate</x:v>
      </x:c>
      <x:c r="C285" s="10" t="n">
        <x:v>45631</x:v>
      </x:c>
      <x:c r="D285" t="str">
        <x:v>Sim</x:v>
      </x:c>
      <x:c r="E285" s="14" t="n">
        <x:v>15</x:v>
      </x:c>
      <x:c r="F285" t="str">
        <x:v>Trimestral</x:v>
      </x:c>
      <x:c r="G285" t="str">
        <x:v>Sim</x:v>
      </x:c>
      <x:c r="H285" s="14" t="n">
        <x:v>30</x:v>
      </x:c>
      <x:c r="I285" t="str">
        <x:v>Sim</x:v>
      </x:c>
      <x:c r="J285" s="14" t="n">
        <x:v>20</x:v>
      </x:c>
      <x:c r="K285" s="14" t="n">
        <x:v>7</x:v>
      </x:c>
      <x:c r="L285" s="14" t="n">
        <x:v>58</x:v>
      </x:c>
      <x:c r="M285" s="12" t="n">
        <x:f>DATE(YEAR(C285),MONTH(C285),1)</x:f>
        <x:v>45627</x:v>
      </x:c>
      <x:c r="N285" t="str">
        <x:f>IF(ABS(E285+H285+J285-K285-L285)&lt;0.001,"OK","REVER")</x:f>
        <x:v>OK</x:v>
      </x:c>
    </x:row>
    <x:row r="286" ht="22" customHeight="1">
      <x:c r="A286" t="n">
        <x:v>3515</x:v>
      </x:c>
      <x:c r="B286" t="str">
        <x:v>Standard</x:v>
      </x:c>
      <x:c r="C286" s="10" t="n">
        <x:v>45632</x:v>
      </x:c>
      <x:c r="D286" t="str">
        <x:v>Não</x:v>
      </x:c>
      <x:c r="E286" s="14" t="n">
        <x:v>10</x:v>
      </x:c>
      <x:c r="F286" t="str">
        <x:v>Mensal</x:v>
      </x:c>
      <x:c r="G286" t="str">
        <x:v>Não</x:v>
      </x:c>
      <x:c r="H286" s="14" t="n">
        <x:v>0</x:v>
      </x:c>
      <x:c r="I286" t="str">
        <x:v>Sim</x:v>
      </x:c>
      <x:c r="J286" s="14" t="n">
        <x:v>20</x:v>
      </x:c>
      <x:c r="K286" s="14" t="n">
        <x:v>10</x:v>
      </x:c>
      <x:c r="L286" s="14" t="n">
        <x:v>20</x:v>
      </x:c>
      <x:c r="M286" s="12" t="n">
        <x:f>DATE(YEAR(C286),MONTH(C286),1)</x:f>
        <x:v>45627</x:v>
      </x:c>
      <x:c r="N286" t="str">
        <x:f>IF(ABS(E286+H286+J286-K286-L286)&lt;0.001,"OK","REVER")</x:f>
        <x:v>OK</x:v>
      </x:c>
    </x:row>
    <x:row r="287" ht="22" customHeight="1">
      <x:c r="A287" t="n">
        <x:v>3516</x:v>
      </x:c>
      <x:c r="B287" t="str">
        <x:v>Core</x:v>
      </x:c>
      <x:c r="C287" s="10" t="n">
        <x:v>45633</x:v>
      </x:c>
      <x:c r="D287" t="str">
        <x:v>Sim</x:v>
      </x:c>
      <x:c r="E287" s="14" t="n">
        <x:v>5</x:v>
      </x:c>
      <x:c r="F287" t="str">
        <x:v>Anual</x:v>
      </x:c>
      <x:c r="G287" t="str">
        <x:v>Não</x:v>
      </x:c>
      <x:c r="H287" s="14" t="n">
        <x:v>0</x:v>
      </x:c>
      <x:c r="I287" t="str">
        <x:v>Não</x:v>
      </x:c>
      <x:c r="J287" s="14" t="n">
        <x:v>0</x:v>
      </x:c>
      <x:c r="K287" s="14" t="n">
        <x:v>0</x:v>
      </x:c>
      <x:c r="L287" s="14" t="n">
        <x:v>5</x:v>
      </x:c>
      <x:c r="M287" s="12" t="n">
        <x:f>DATE(YEAR(C287),MONTH(C287),1)</x:f>
        <x:v>45627</x:v>
      </x:c>
      <x:c r="N287" t="str">
        <x:f>IF(ABS(E287+H287+J287-K287-L287)&lt;0.001,"OK","REVER")</x:f>
        <x:v>OK</x:v>
      </x:c>
    </x:row>
    <x:row r="288" ht="22" customHeight="1">
      <x:c r="A288" t="n">
        <x:v>3517</x:v>
      </x:c>
      <x:c r="B288" t="str">
        <x:v>Ultimate</x:v>
      </x:c>
      <x:c r="C288" s="10" t="n">
        <x:v>45634</x:v>
      </x:c>
      <x:c r="D288" t="str">
        <x:v>Não</x:v>
      </x:c>
      <x:c r="E288" s="14" t="n">
        <x:v>15</x:v>
      </x:c>
      <x:c r="F288" t="str">
        <x:v>Mensal</x:v>
      </x:c>
      <x:c r="G288" t="str">
        <x:v>Sim</x:v>
      </x:c>
      <x:c r="H288" s="14" t="n">
        <x:v>30</x:v>
      </x:c>
      <x:c r="I288" t="str">
        <x:v>Sim</x:v>
      </x:c>
      <x:c r="J288" s="14" t="n">
        <x:v>20</x:v>
      </x:c>
      <x:c r="K288" s="14" t="n">
        <x:v>20</x:v>
      </x:c>
      <x:c r="L288" s="14" t="n">
        <x:v>45</x:v>
      </x:c>
      <x:c r="M288" s="12" t="n">
        <x:f>DATE(YEAR(C288),MONTH(C288),1)</x:f>
        <x:v>45627</x:v>
      </x:c>
      <x:c r="N288" t="str">
        <x:f>IF(ABS(E288+H288+J288-K288-L288)&lt;0.001,"OK","REVER")</x:f>
        <x:v>OK</x:v>
      </x:c>
    </x:row>
    <x:row r="289" ht="22" customHeight="1">
      <x:c r="A289" t="n">
        <x:v>3518</x:v>
      </x:c>
      <x:c r="B289" t="str">
        <x:v>Standard</x:v>
      </x:c>
      <x:c r="C289" s="10" t="n">
        <x:v>45635</x:v>
      </x:c>
      <x:c r="D289" t="str">
        <x:v>Sim</x:v>
      </x:c>
      <x:c r="E289" s="14" t="n">
        <x:v>10</x:v>
      </x:c>
      <x:c r="F289" t="str">
        <x:v>Trimestral</x:v>
      </x:c>
      <x:c r="G289" t="str">
        <x:v>Não</x:v>
      </x:c>
      <x:c r="H289" s="14" t="n">
        <x:v>0</x:v>
      </x:c>
      <x:c r="I289" t="str">
        <x:v>Sim</x:v>
      </x:c>
      <x:c r="J289" s="14" t="n">
        <x:v>20</x:v>
      </x:c>
      <x:c r="K289" s="14" t="n">
        <x:v>12</x:v>
      </x:c>
      <x:c r="L289" s="14" t="n">
        <x:v>18</x:v>
      </x:c>
      <x:c r="M289" s="12" t="n">
        <x:f>DATE(YEAR(C289),MONTH(C289),1)</x:f>
        <x:v>45627</x:v>
      </x:c>
      <x:c r="N289" t="str">
        <x:f>IF(ABS(E289+H289+J289-K289-L289)&lt;0.001,"OK","REVER")</x:f>
        <x:v>OK</x:v>
      </x:c>
    </x:row>
    <x:row r="290" ht="22" customHeight="1">
      <x:c r="A290" t="n">
        <x:v>3519</x:v>
      </x:c>
      <x:c r="B290" t="str">
        <x:v>Core</x:v>
      </x:c>
      <x:c r="C290" s="10" t="n">
        <x:v>45636</x:v>
      </x:c>
      <x:c r="D290" t="str">
        <x:v>Não</x:v>
      </x:c>
      <x:c r="E290" s="14" t="n">
        <x:v>5</x:v>
      </x:c>
      <x:c r="F290" t="str">
        <x:v>Mensal</x:v>
      </x:c>
      <x:c r="G290" t="str">
        <x:v>Não</x:v>
      </x:c>
      <x:c r="H290" s="14" t="n">
        <x:v>0</x:v>
      </x:c>
      <x:c r="I290" t="str">
        <x:v>Não</x:v>
      </x:c>
      <x:c r="J290" s="14" t="n">
        <x:v>0</x:v>
      </x:c>
      <x:c r="K290" s="14" t="n">
        <x:v>2</x:v>
      </x:c>
      <x:c r="L290" s="14" t="n">
        <x:v>3</x:v>
      </x:c>
      <x:c r="M290" s="12" t="n">
        <x:f>DATE(YEAR(C290),MONTH(C290),1)</x:f>
        <x:v>45627</x:v>
      </x:c>
      <x:c r="N290" t="str">
        <x:f>IF(ABS(E290+H290+J290-K290-L290)&lt;0.001,"OK","REVER")</x:f>
        <x:v>OK</x:v>
      </x:c>
    </x:row>
    <x:row r="291" ht="22" customHeight="1">
      <x:c r="A291" t="n">
        <x:v>3520</x:v>
      </x:c>
      <x:c r="B291" t="str">
        <x:v>Ultimate</x:v>
      </x:c>
      <x:c r="C291" s="10" t="n">
        <x:v>45637</x:v>
      </x:c>
      <x:c r="D291" t="str">
        <x:v>Sim</x:v>
      </x:c>
      <x:c r="E291" s="14" t="n">
        <x:v>15</x:v>
      </x:c>
      <x:c r="F291" t="str">
        <x:v>Anual</x:v>
      </x:c>
      <x:c r="G291" t="str">
        <x:v>Sim</x:v>
      </x:c>
      <x:c r="H291" s="14" t="n">
        <x:v>30</x:v>
      </x:c>
      <x:c r="I291" t="str">
        <x:v>Sim</x:v>
      </x:c>
      <x:c r="J291" s="14" t="n">
        <x:v>20</x:v>
      </x:c>
      <x:c r="K291" s="14" t="n">
        <x:v>5</x:v>
      </x:c>
      <x:c r="L291" s="14" t="n">
        <x:v>60</x:v>
      </x:c>
      <x:c r="M291" s="12" t="n">
        <x:f>DATE(YEAR(C291),MONTH(C291),1)</x:f>
        <x:v>45627</x:v>
      </x:c>
      <x:c r="N291" t="str">
        <x:f>IF(ABS(E291+H291+J291-K291-L291)&lt;0.001,"OK","REVER")</x:f>
        <x:v>OK</x:v>
      </x:c>
    </x:row>
    <x:row r="292" ht="22" customHeight="1">
      <x:c r="A292" t="n">
        <x:v>3521</x:v>
      </x:c>
      <x:c r="B292" t="str">
        <x:v>Standard</x:v>
      </x:c>
      <x:c r="C292" s="10" t="n">
        <x:v>45638</x:v>
      </x:c>
      <x:c r="D292" t="str">
        <x:v>Não</x:v>
      </x:c>
      <x:c r="E292" s="14" t="n">
        <x:v>10</x:v>
      </x:c>
      <x:c r="F292" t="str">
        <x:v>Mensal</x:v>
      </x:c>
      <x:c r="G292" t="str">
        <x:v>Não</x:v>
      </x:c>
      <x:c r="H292" s="14" t="n">
        <x:v>0</x:v>
      </x:c>
      <x:c r="I292" t="str">
        <x:v>Sim</x:v>
      </x:c>
      <x:c r="J292" s="14" t="n">
        <x:v>20</x:v>
      </x:c>
      <x:c r="K292" s="14" t="n">
        <x:v>10</x:v>
      </x:c>
      <x:c r="L292" s="14" t="n">
        <x:v>20</x:v>
      </x:c>
      <x:c r="M292" s="12" t="n">
        <x:f>DATE(YEAR(C292),MONTH(C292),1)</x:f>
        <x:v>45627</x:v>
      </x:c>
      <x:c r="N292" t="str">
        <x:f>IF(ABS(E292+H292+J292-K292-L292)&lt;0.001,"OK","REVER")</x:f>
        <x:v>OK</x:v>
      </x:c>
    </x:row>
    <x:row r="293" ht="22" customHeight="1">
      <x:c r="A293" t="n">
        <x:v>3522</x:v>
      </x:c>
      <x:c r="B293" t="str">
        <x:v>Core</x:v>
      </x:c>
      <x:c r="C293" s="10" t="n">
        <x:v>45639</x:v>
      </x:c>
      <x:c r="D293" t="str">
        <x:v>Sim</x:v>
      </x:c>
      <x:c r="E293" s="14" t="n">
        <x:v>5</x:v>
      </x:c>
      <x:c r="F293" t="str">
        <x:v>Trimestral</x:v>
      </x:c>
      <x:c r="G293" t="str">
        <x:v>Não</x:v>
      </x:c>
      <x:c r="H293" s="14" t="n">
        <x:v>0</x:v>
      </x:c>
      <x:c r="I293" t="str">
        <x:v>Não</x:v>
      </x:c>
      <x:c r="J293" s="14" t="n">
        <x:v>0</x:v>
      </x:c>
      <x:c r="K293" s="14" t="n">
        <x:v>0</x:v>
      </x:c>
      <x:c r="L293" s="14" t="n">
        <x:v>5</x:v>
      </x:c>
      <x:c r="M293" s="12" t="n">
        <x:f>DATE(YEAR(C293),MONTH(C293),1)</x:f>
        <x:v>45627</x:v>
      </x:c>
      <x:c r="N293" t="str">
        <x:f>IF(ABS(E293+H293+J293-K293-L293)&lt;0.001,"OK","REVER")</x:f>
        <x:v>OK</x:v>
      </x:c>
    </x:row>
    <x:row r="294" ht="22" customHeight="1">
      <x:c r="A294" t="n">
        <x:v>3523</x:v>
      </x:c>
      <x:c r="B294" t="str">
        <x:v>Ultimate</x:v>
      </x:c>
      <x:c r="C294" s="10" t="n">
        <x:v>45640</x:v>
      </x:c>
      <x:c r="D294" t="str">
        <x:v>Não</x:v>
      </x:c>
      <x:c r="E294" s="14" t="n">
        <x:v>15</x:v>
      </x:c>
      <x:c r="F294" t="str">
        <x:v>Mensal</x:v>
      </x:c>
      <x:c r="G294" t="str">
        <x:v>Sim</x:v>
      </x:c>
      <x:c r="H294" s="14" t="n">
        <x:v>30</x:v>
      </x:c>
      <x:c r="I294" t="str">
        <x:v>Sim</x:v>
      </x:c>
      <x:c r="J294" s="14" t="n">
        <x:v>20</x:v>
      </x:c>
      <x:c r="K294" s="14" t="n">
        <x:v>3</x:v>
      </x:c>
      <x:c r="L294" s="14" t="n">
        <x:v>62</x:v>
      </x:c>
      <x:c r="M294" s="12" t="n">
        <x:f>DATE(YEAR(C294),MONTH(C294),1)</x:f>
        <x:v>45627</x:v>
      </x:c>
      <x:c r="N294" t="str">
        <x:f>IF(ABS(E294+H294+J294-K294-L294)&lt;0.001,"OK","REVER")</x:f>
        <x:v>OK</x:v>
      </x:c>
    </x:row>
    <x:row r="295" ht="22" customHeight="1">
      <x:c r="A295" t="n">
        <x:v>3524</x:v>
      </x:c>
      <x:c r="B295" t="str">
        <x:v>Standard</x:v>
      </x:c>
      <x:c r="C295" s="10" t="n">
        <x:v>45641</x:v>
      </x:c>
      <x:c r="D295" t="str">
        <x:v>Sim</x:v>
      </x:c>
      <x:c r="E295" s="14" t="n">
        <x:v>10</x:v>
      </x:c>
      <x:c r="F295" t="str">
        <x:v>Anual</x:v>
      </x:c>
      <x:c r="G295" t="str">
        <x:v>Não</x:v>
      </x:c>
      <x:c r="H295" s="14" t="n">
        <x:v>0</x:v>
      </x:c>
      <x:c r="I295" t="str">
        <x:v>Sim</x:v>
      </x:c>
      <x:c r="J295" s="14" t="n">
        <x:v>20</x:v>
      </x:c>
      <x:c r="K295" s="14" t="n">
        <x:v>15</x:v>
      </x:c>
      <x:c r="L295" s="14" t="n">
        <x:v>15</x:v>
      </x:c>
      <x:c r="M295" s="12" t="n">
        <x:f>DATE(YEAR(C295),MONTH(C295),1)</x:f>
        <x:v>45627</x:v>
      </x:c>
      <x:c r="N295" t="str">
        <x:f>IF(ABS(E295+H295+J295-K295-L295)&lt;0.001,"OK","REVER")</x:f>
        <x:v>OK</x:v>
      </x:c>
    </x:row>
    <x:row r="296" ht="22" customHeight="1">
      <x:c r="A296" t="n">
        <x:v>3525</x:v>
      </x:c>
      <x:c r="B296" t="str">
        <x:v>Core</x:v>
      </x:c>
      <x:c r="C296" s="10" t="n">
        <x:v>45642</x:v>
      </x:c>
      <x:c r="D296" t="str">
        <x:v>Não</x:v>
      </x:c>
      <x:c r="E296" s="14" t="n">
        <x:v>5</x:v>
      </x:c>
      <x:c r="F296" t="str">
        <x:v>Mensal</x:v>
      </x:c>
      <x:c r="G296" t="str">
        <x:v>Não</x:v>
      </x:c>
      <x:c r="H296" s="14" t="n">
        <x:v>0</x:v>
      </x:c>
      <x:c r="I296" t="str">
        <x:v>Não</x:v>
      </x:c>
      <x:c r="J296" s="14" t="n">
        <x:v>0</x:v>
      </x:c>
      <x:c r="K296" s="14" t="n">
        <x:v>1</x:v>
      </x:c>
      <x:c r="L296" s="14" t="n">
        <x:v>4</x:v>
      </x:c>
      <x:c r="M296" s="12" t="n">
        <x:f>DATE(YEAR(C296),MONTH(C296),1)</x:f>
        <x:v>45627</x:v>
      </x:c>
      <x:c r="N296" t="str">
        <x:f>IF(ABS(E296+H296+J296-K296-L296)&lt;0.001,"OK","REVER")</x:f>
        <x:v>OK</x:v>
      </x:c>
    </x:row>
  </x:sheetData>
  <x:conditionalFormatting sqref="N2:N296">
    <x:cfRule type="expression" dxfId="0" priority="1">
      <x:formula>N2="REVER"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6b4df4e0a544c68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4" max="4" width="22" hidden="0" customWidth="1"/>
    <x:col min="7" max="7" width="22" hidden="0" customWidth="1"/>
    <x:col min="10" max="10" width="22" hidden="0" customWidth="1"/>
    <x:col min="13" max="13" width="22" hidden="0" customWidth="1"/>
    <x:col min="2" max="2" width="24" hidden="0" customWidth="1"/>
    <x:col min="5" max="5" width="24" hidden="0" customWidth="1"/>
    <x:col min="8" max="8" width="24" hidden="0" customWidth="1"/>
    <x:col min="11" max="11" width="24" hidden="0" customWidth="1"/>
    <x:col min="14" max="14" width="24" hidden="0" customWidth="1"/>
    <x:col min="3" max="3" width="16" hidden="0" customWidth="1"/>
    <x:col min="6" max="6" width="4" hidden="0" customWidth="1"/>
    <x:col min="9" max="9" width="4" hidden="0" customWidth="1"/>
    <x:col min="12" max="12" width="4" hidden="0" customWidth="1"/>
  </x:cols>
  <x:sheetData>
    <x:row r="1" ht="24" customHeight="1">
      <x:c r="A1" s="16" t="str">
        <x:v>BASE ANALÍTICA  |  cálculos para o dashboard</x:v>
      </x:c>
      <x:c r="B1" s="16"/>
      <x:c r="C1" s="16"/>
      <x:c r="D1" s="16"/>
      <x:c r="E1" s="16"/>
      <x:c r="F1" s="16"/>
      <x:c r="G1" s="16"/>
      <x:c r="H1" s="16"/>
      <x:c r="I1" s="16"/>
      <x:c r="J1" s="16"/>
      <x:c r="K1" s="16"/>
      <x:c r="L1" s="16"/>
      <x:c r="M1" s="16"/>
      <x:c r="N1" s="16"/>
    </x:row>
    <x:row r="2" ht="24" customHeight="1">
      <x:c r="A2" s="16"/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</x:row>
    <x:row r="4" ht="29" customHeight="1">
      <x:c r="A4" s="21" t="str">
        <x:v>Mês de início</x:v>
      </x:c>
      <x:c r="B4" s="21" t="str">
        <x:v>Valor total (u.m.)</x:v>
      </x:c>
      <x:c r="C4" s="21" t="str">
        <x:v>Rótulo de mês</x:v>
      </x:c>
      <x:c r="D4" s="21" t="str">
        <x:v>Plano</x:v>
      </x:c>
      <x:c r="E4" s="21" t="str">
        <x:v>Valor total (u.m.)</x:v>
      </x:c>
      <x:c r="G4" s="21" t="str">
        <x:v>Periodicidade</x:v>
      </x:c>
      <x:c r="H4" s="21" t="str">
        <x:v>Assinaturas</x:v>
      </x:c>
      <x:c r="J4" s="21" t="str">
        <x:v>Renovação</x:v>
      </x:c>
      <x:c r="K4" s="21" t="str">
        <x:v>Assinaturas</x:v>
      </x:c>
      <x:c r="M4" s="21" t="str">
        <x:v>Adicional</x:v>
      </x:c>
      <x:c r="N4" s="21" t="str">
        <x:v>Assinaturas</x:v>
      </x:c>
    </x:row>
    <x:row r="5">
      <x:c r="A5" s="18" t="n">
        <x:v>45292</x:v>
      </x:c>
      <x:c r="B5" s="14" t="n">
        <x:f>SUMIFS(DADOS!$L$2:$L$296,DADOS!$B$2:$B$296,IF(PAINEL!$C$7="Todos","*",PAINEL!$C$7),DADOS!$F$2:$F$296,IF(PAINEL!$K$7="Todas","*",PAINEL!$K$7),DADOS!$M$2:$M$296,A5)</x:f>
        <x:v>65</x:v>
      </x:c>
      <x:c r="C5" t="str">
        <x:v>jan</x:v>
      </x:c>
      <x:c r="D5" t="str">
        <x:v>Core</x:v>
      </x:c>
      <x:c r="E5" s="14" t="n">
        <x:f>SUMIFS(DADOS!$L$2:$L$296,DADOS!$B$2:$B$296,IF(PAINEL!$C$7="Todos","*",PAINEL!$C$7),DADOS!$F$2:$F$296,IF(PAINEL!$K$7="Todas","*",PAINEL!$K$7),DADOS!$B$2:$B$296,D5)</x:f>
        <x:v>444</x:v>
      </x:c>
      <x:c r="G5" t="str">
        <x:v>Mensal</x:v>
      </x:c>
      <x:c r="H5" t="n">
        <x:f>COUNTIFS(DADOS!$B$2:$B$296,IF(PAINEL!$C$7="Todos","*",PAINEL!$C$7),DADOS!$F$2:$F$296,IF(PAINEL!$K$7="Todas","*",PAINEL!$K$7),DADOS!$F$2:$F$296,G5)</x:f>
        <x:v>139</x:v>
      </x:c>
      <x:c r="J5" t="str">
        <x:v>Sim</x:v>
      </x:c>
      <x:c r="K5" t="n">
        <x:f>COUNTIFS(DADOS!$B$2:$B$296,IF(PAINEL!$C$7="Todos","*",PAINEL!$C$7),DADOS!$F$2:$F$296,IF(PAINEL!$K$7="Todas","*",PAINEL!$K$7),DADOS!$D$2:$D$296,J5)</x:f>
        <x:v>148</x:v>
      </x:c>
      <x:c r="M5" t="str">
        <x:v>EA Play</x:v>
      </x:c>
      <x:c r="N5" t="n">
        <x:f>COUNTIFS(DADOS!$B$2:$B$296,IF(PAINEL!$C$7="Todos","*",PAINEL!$C$7),DADOS!$F$2:$F$296,IF(PAINEL!$K$7="Todas","*",PAINEL!$K$7),DADOS!$G$2:$G$296,"Sim")</x:f>
        <x:v>98</x:v>
      </x:c>
    </x:row>
    <x:row r="6">
      <x:c r="A6" s="18" t="n">
        <x:v>45323</x:v>
      </x:c>
      <x:c r="B6" s="14" t="n">
        <x:f>SUMIFS(DADOS!$L$2:$L$296,DADOS!$B$2:$B$296,IF(PAINEL!$C$7="Todos","*",PAINEL!$C$7),DADOS!$F$2:$F$296,IF(PAINEL!$K$7="Todas","*",PAINEL!$K$7),DADOS!$M$2:$M$296,A6)</x:f>
        <x:v>82</x:v>
      </x:c>
      <x:c r="C6" t="str">
        <x:v>fev</x:v>
      </x:c>
      <x:c r="D6" t="str">
        <x:v>Standard</x:v>
      </x:c>
      <x:c r="E6" s="14" t="n">
        <x:f>SUMIFS(DADOS!$L$2:$L$296,DADOS!$B$2:$B$296,IF(PAINEL!$C$7="Todos","*",PAINEL!$C$7),DADOS!$F$2:$F$296,IF(PAINEL!$K$7="Todas","*",PAINEL!$K$7),DADOS!$B$2:$B$296,D6)</x:f>
        <x:v>1801</x:v>
      </x:c>
      <x:c r="G6" t="str">
        <x:v>Trimestral</x:v>
      </x:c>
      <x:c r="H6" t="n">
        <x:f>COUNTIFS(DADOS!$B$2:$B$296,IF(PAINEL!$C$7="Todos","*",PAINEL!$C$7),DADOS!$F$2:$F$296,IF(PAINEL!$K$7="Todas","*",PAINEL!$K$7),DADOS!$F$2:$F$296,G6)</x:f>
        <x:v>85</x:v>
      </x:c>
      <x:c r="J6" t="str">
        <x:v>Não</x:v>
      </x:c>
      <x:c r="K6" t="n">
        <x:f>COUNTIFS(DADOS!$B$2:$B$296,IF(PAINEL!$C$7="Todos","*",PAINEL!$C$7),DADOS!$F$2:$F$296,IF(PAINEL!$K$7="Todas","*",PAINEL!$K$7),DADOS!$D$2:$D$296,J6)</x:f>
        <x:v>147</x:v>
      </x:c>
      <x:c r="M6" t="str">
        <x:v>Minecraft</x:v>
      </x:c>
      <x:c r="N6" t="n">
        <x:f>COUNTIFS(DADOS!$B$2:$B$296,IF(PAINEL!$C$7="Todos","*",PAINEL!$C$7),DADOS!$F$2:$F$296,IF(PAINEL!$K$7="Todas","*",PAINEL!$K$7),DADOS!$I$2:$I$296,"Sim")</x:f>
        <x:v>194</x:v>
      </x:c>
    </x:row>
    <x:row r="7">
      <x:c r="A7" s="18" t="n">
        <x:v>45352</x:v>
      </x:c>
      <x:c r="B7" s="14" t="n">
        <x:f>SUMIFS(DADOS!$L$2:$L$296,DADOS!$B$2:$B$296,IF(PAINEL!$C$7="Todos","*",PAINEL!$C$7),DADOS!$F$2:$F$296,IF(PAINEL!$K$7="Todas","*",PAINEL!$K$7),DADOS!$M$2:$M$296,A7)</x:f>
        <x:v>801</x:v>
      </x:c>
      <x:c r="C7" t="str">
        <x:v>mar</x:v>
      </x:c>
      <x:c r="D7" t="str">
        <x:v>Ultimate</x:v>
      </x:c>
      <x:c r="E7" s="14" t="n">
        <x:f>SUMIFS(DADOS!$L$2:$L$296,DADOS!$B$2:$B$296,IF(PAINEL!$C$7="Todos","*",PAINEL!$C$7),DADOS!$F$2:$F$296,IF(PAINEL!$K$7="Todas","*",PAINEL!$K$7),DADOS!$B$2:$B$296,D7)</x:f>
        <x:v>5388</x:v>
      </x:c>
      <x:c r="G7" t="str">
        <x:v>Anual</x:v>
      </x:c>
      <x:c r="H7" t="n">
        <x:f>COUNTIFS(DADOS!$B$2:$B$296,IF(PAINEL!$C$7="Todos","*",PAINEL!$C$7),DADOS!$F$2:$F$296,IF(PAINEL!$K$7="Todas","*",PAINEL!$K$7),DADOS!$F$2:$F$296,G7)</x:f>
        <x:v>71</x:v>
      </x:c>
    </x:row>
    <x:row r="8">
      <x:c r="A8" s="18" t="n">
        <x:v>45383</x:v>
      </x:c>
      <x:c r="B8" s="14" t="n">
        <x:f>SUMIFS(DADOS!$L$2:$L$296,DADOS!$B$2:$B$296,IF(PAINEL!$C$7="Todos","*",PAINEL!$C$7),DADOS!$F$2:$F$296,IF(PAINEL!$K$7="Todas","*",PAINEL!$K$7),DADOS!$M$2:$M$296,A8)</x:f>
        <x:v>782</x:v>
      </x:c>
      <x:c r="C8" t="str">
        <x:v>abr</x:v>
      </x:c>
    </x:row>
    <x:row r="9">
      <x:c r="A9" s="18" t="n">
        <x:v>45413</x:v>
      </x:c>
      <x:c r="B9" s="14" t="n">
        <x:f>SUMIFS(DADOS!$L$2:$L$296,DADOS!$B$2:$B$296,IF(PAINEL!$C$7="Todos","*",PAINEL!$C$7),DADOS!$F$2:$F$296,IF(PAINEL!$K$7="Todas","*",PAINEL!$K$7),DADOS!$M$2:$M$296,A9)</x:f>
        <x:v>777</x:v>
      </x:c>
      <x:c r="C9" t="str">
        <x:v>mai</x:v>
      </x:c>
    </x:row>
    <x:row r="10">
      <x:c r="A10" s="18" t="n">
        <x:v>45444</x:v>
      </x:c>
      <x:c r="B10" s="14" t="n">
        <x:f>SUMIFS(DADOS!$L$2:$L$296,DADOS!$B$2:$B$296,IF(PAINEL!$C$7="Todos","*",PAINEL!$C$7),DADOS!$F$2:$F$296,IF(PAINEL!$K$7="Todas","*",PAINEL!$K$7),DADOS!$M$2:$M$296,A10)</x:f>
        <x:v>770</x:v>
      </x:c>
      <x:c r="C10" t="str">
        <x:v>jun</x:v>
      </x:c>
    </x:row>
    <x:row r="11">
      <x:c r="A11" s="18" t="n">
        <x:v>45474</x:v>
      </x:c>
      <x:c r="B11" s="14" t="n">
        <x:f>SUMIFS(DADOS!$L$2:$L$296,DADOS!$B$2:$B$296,IF(PAINEL!$C$7="Todos","*",PAINEL!$C$7),DADOS!$F$2:$F$296,IF(PAINEL!$K$7="Todas","*",PAINEL!$K$7),DADOS!$M$2:$M$296,A11)</x:f>
        <x:v>784</x:v>
      </x:c>
      <x:c r="C11" t="str">
        <x:v>jul</x:v>
      </x:c>
    </x:row>
    <x:row r="12">
      <x:c r="A12" s="18" t="n">
        <x:v>45505</x:v>
      </x:c>
      <x:c r="B12" s="14" t="n">
        <x:f>SUMIFS(DADOS!$L$2:$L$296,DADOS!$B$2:$B$296,IF(PAINEL!$C$7="Todos","*",PAINEL!$C$7),DADOS!$F$2:$F$296,IF(PAINEL!$K$7="Todas","*",PAINEL!$K$7),DADOS!$M$2:$M$296,A12)</x:f>
        <x:v>787</x:v>
      </x:c>
      <x:c r="C12" t="str">
        <x:v>ago</x:v>
      </x:c>
    </x:row>
    <x:row r="13">
      <x:c r="A13" s="18" t="n">
        <x:v>45536</x:v>
      </x:c>
      <x:c r="B13" s="14" t="n">
        <x:f>SUMIFS(DADOS!$L$2:$L$296,DADOS!$B$2:$B$296,IF(PAINEL!$C$7="Todos","*",PAINEL!$C$7),DADOS!$F$2:$F$296,IF(PAINEL!$K$7="Todas","*",PAINEL!$K$7),DADOS!$M$2:$M$296,A13)</x:f>
        <x:v>780</x:v>
      </x:c>
      <x:c r="C13" t="str">
        <x:v>set</x:v>
      </x:c>
    </x:row>
    <x:row r="14">
      <x:c r="A14" s="18" t="n">
        <x:v>45566</x:v>
      </x:c>
      <x:c r="B14" s="14" t="n">
        <x:f>SUMIFS(DADOS!$L$2:$L$296,DADOS!$B$2:$B$296,IF(PAINEL!$C$7="Todos","*",PAINEL!$C$7),DADOS!$F$2:$F$296,IF(PAINEL!$K$7="Todas","*",PAINEL!$K$7),DADOS!$M$2:$M$296,A14)</x:f>
        <x:v>832</x:v>
      </x:c>
      <x:c r="C14" t="str">
        <x:v>out</x:v>
      </x:c>
    </x:row>
    <x:row r="15">
      <x:c r="A15" s="18" t="n">
        <x:v>45597</x:v>
      </x:c>
      <x:c r="B15" s="14" t="n">
        <x:f>SUMIFS(DADOS!$L$2:$L$296,DADOS!$B$2:$B$296,IF(PAINEL!$C$7="Todos","*",PAINEL!$C$7),DADOS!$F$2:$F$296,IF(PAINEL!$K$7="Todas","*",PAINEL!$K$7),DADOS!$M$2:$M$296,A15)</x:f>
        <x:v>784</x:v>
      </x:c>
      <x:c r="C15" t="str">
        <x:v>nov</x:v>
      </x:c>
    </x:row>
    <x:row r="16">
      <x:c r="A16" s="18" t="n">
        <x:v>45627</x:v>
      </x:c>
      <x:c r="B16" s="14" t="n">
        <x:f>SUMIFS(DADOS!$L$2:$L$296,DADOS!$B$2:$B$296,IF(PAINEL!$C$7="Todos","*",PAINEL!$C$7),DADOS!$F$2:$F$296,IF(PAINEL!$K$7="Todas","*",PAINEL!$K$7),DADOS!$M$2:$M$296,A16)</x:f>
        <x:v>389</x:v>
      </x:c>
      <x:c r="C16" t="str">
        <x:v>dez</x:v>
      </x:c>
    </x:row>
    <x:row r="19" ht="29" customHeight="1">
      <x:c r="A19" s="21" t="str">
        <x:v>Mês de início</x:v>
      </x:c>
      <x:c r="B19" s="21" t="str">
        <x:v>Assinaturas</x:v>
      </x:c>
    </x:row>
    <x:row r="20">
      <x:c r="A20" s="18" t="n">
        <x:v>45292</x:v>
      </x:c>
      <x:c r="B20" t="n">
        <x:f>COUNTIFS(DADOS!$B$2:$B$296,IF(PAINEL!$C$7="Todos","*",PAINEL!$C$7),DADOS!$F$2:$F$296,IF(PAINEL!$K$7="Todas","*",PAINEL!$K$7),DADOS!$M$2:$M$296,A20)</x:f>
        <x:v>2</x:v>
      </x:c>
    </x:row>
    <x:row r="21">
      <x:c r="A21" s="18" t="n">
        <x:v>45323</x:v>
      </x:c>
      <x:c r="B21" t="n">
        <x:f>COUNTIFS(DADOS!$B$2:$B$296,IF(PAINEL!$C$7="Todos","*",PAINEL!$C$7),DADOS!$F$2:$F$296,IF(PAINEL!$K$7="Todas","*",PAINEL!$K$7),DADOS!$M$2:$M$296,A21)</x:f>
        <x:v>2</x:v>
      </x:c>
    </x:row>
    <x:row r="22">
      <x:c r="A22" s="18" t="n">
        <x:v>45352</x:v>
      </x:c>
      <x:c r="B22" t="n">
        <x:f>COUNTIFS(DADOS!$B$2:$B$296,IF(PAINEL!$C$7="Todos","*",PAINEL!$C$7),DADOS!$F$2:$F$296,IF(PAINEL!$K$7="Todas","*",PAINEL!$K$7),DADOS!$M$2:$M$296,A22)</x:f>
        <x:v>31</x:v>
      </x:c>
    </x:row>
    <x:row r="23">
      <x:c r="A23" s="18" t="n">
        <x:v>45383</x:v>
      </x:c>
      <x:c r="B23" t="n">
        <x:f>COUNTIFS(DADOS!$B$2:$B$296,IF(PAINEL!$C$7="Todos","*",PAINEL!$C$7),DADOS!$F$2:$F$296,IF(PAINEL!$K$7="Todas","*",PAINEL!$K$7),DADOS!$M$2:$M$296,A23)</x:f>
        <x:v>30</x:v>
      </x:c>
    </x:row>
    <x:row r="24">
      <x:c r="A24" s="18" t="n">
        <x:v>45413</x:v>
      </x:c>
      <x:c r="B24" t="n">
        <x:f>COUNTIFS(DADOS!$B$2:$B$296,IF(PAINEL!$C$7="Todos","*",PAINEL!$C$7),DADOS!$F$2:$F$296,IF(PAINEL!$K$7="Todas","*",PAINEL!$K$7),DADOS!$M$2:$M$296,A24)</x:f>
        <x:v>31</x:v>
      </x:c>
    </x:row>
    <x:row r="25">
      <x:c r="A25" s="18" t="n">
        <x:v>45444</x:v>
      </x:c>
      <x:c r="B25" t="n">
        <x:f>COUNTIFS(DADOS!$B$2:$B$296,IF(PAINEL!$C$7="Todos","*",PAINEL!$C$7),DADOS!$F$2:$F$296,IF(PAINEL!$K$7="Todas","*",PAINEL!$K$7),DADOS!$M$2:$M$296,A25)</x:f>
        <x:v>30</x:v>
      </x:c>
    </x:row>
    <x:row r="26">
      <x:c r="A26" s="18" t="n">
        <x:v>45474</x:v>
      </x:c>
      <x:c r="B26" t="n">
        <x:f>COUNTIFS(DADOS!$B$2:$B$296,IF(PAINEL!$C$7="Todos","*",PAINEL!$C$7),DADOS!$F$2:$F$296,IF(PAINEL!$K$7="Todas","*",PAINEL!$K$7),DADOS!$M$2:$M$296,A26)</x:f>
        <x:v>31</x:v>
      </x:c>
    </x:row>
    <x:row r="27">
      <x:c r="A27" s="18" t="n">
        <x:v>45505</x:v>
      </x:c>
      <x:c r="B27" t="n">
        <x:f>COUNTIFS(DADOS!$B$2:$B$296,IF(PAINEL!$C$7="Todos","*",PAINEL!$C$7),DADOS!$F$2:$F$296,IF(PAINEL!$K$7="Todas","*",PAINEL!$K$7),DADOS!$M$2:$M$296,A27)</x:f>
        <x:v>31</x:v>
      </x:c>
    </x:row>
    <x:row r="28">
      <x:c r="A28" s="18" t="n">
        <x:v>45536</x:v>
      </x:c>
      <x:c r="B28" t="n">
        <x:f>COUNTIFS(DADOS!$B$2:$B$296,IF(PAINEL!$C$7="Todos","*",PAINEL!$C$7),DADOS!$F$2:$F$296,IF(PAINEL!$K$7="Todas","*",PAINEL!$K$7),DADOS!$M$2:$M$296,A28)</x:f>
        <x:v>30</x:v>
      </x:c>
    </x:row>
    <x:row r="29">
      <x:c r="A29" s="18" t="n">
        <x:v>45566</x:v>
      </x:c>
      <x:c r="B29" t="n">
        <x:f>COUNTIFS(DADOS!$B$2:$B$296,IF(PAINEL!$C$7="Todos","*",PAINEL!$C$7),DADOS!$F$2:$F$296,IF(PAINEL!$K$7="Todas","*",PAINEL!$K$7),DADOS!$M$2:$M$296,A29)</x:f>
        <x:v>31</x:v>
      </x:c>
    </x:row>
    <x:row r="30">
      <x:c r="A30" s="18" t="n">
        <x:v>45597</x:v>
      </x:c>
      <x:c r="B30" t="n">
        <x:f>COUNTIFS(DADOS!$B$2:$B$296,IF(PAINEL!$C$7="Todos","*",PAINEL!$C$7),DADOS!$F$2:$F$296,IF(PAINEL!$K$7="Todas","*",PAINEL!$K$7),DADOS!$M$2:$M$296,A30)</x:f>
        <x:v>30</x:v>
      </x:c>
    </x:row>
    <x:row r="31">
      <x:c r="A31" s="18" t="n">
        <x:v>45627</x:v>
      </x:c>
      <x:c r="B31" t="n">
        <x:f>COUNTIFS(DADOS!$B$2:$B$296,IF(PAINEL!$C$7="Todos","*",PAINEL!$C$7),DADOS!$F$2:$F$296,IF(PAINEL!$K$7="Todas","*",PAINEL!$K$7),DADOS!$M$2:$M$296,A31)</x:f>
        <x:v>16</x:v>
      </x:c>
    </x:row>
  </x:sheetData>
  <x:mergeCells>
    <x:mergeCell ref="A1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" hidden="0" customWidth="1"/>
  </x:cols>
  <x:sheetData>
    <x:row r="1" ht="23" customHeight="1">
      <x:c r="A1" s="25"/>
      <x:c r="B1" s="25"/>
      <x:c r="C1" s="25"/>
      <x:c r="D1" s="25"/>
      <x:c r="E1" s="25"/>
      <x:c r="F1" s="25"/>
      <x:c r="G1" s="25"/>
      <x:c r="H1" s="25"/>
      <x:c r="I1" s="25"/>
      <x:c r="J1" s="25"/>
    </x:row>
    <x:row r="2" ht="23" customHeight="1">
      <x:c r="A2" s="25"/>
      <x:c r="B2" s="111" t="str">
        <x:v>GUIA DE USO  |  XBOX GAME PASS</x:v>
      </x:c>
      <x:c r="C2" s="111"/>
      <x:c r="D2" s="111"/>
      <x:c r="E2" s="111"/>
      <x:c r="F2" s="111"/>
      <x:c r="G2" s="111"/>
      <x:c r="H2" s="111"/>
      <x:c r="I2" s="111"/>
      <x:c r="J2" s="25"/>
    </x:row>
    <x:row r="3" ht="23" customHeight="1">
      <x:c r="A3" s="25"/>
      <x:c r="B3" s="111"/>
      <x:c r="C3" s="111"/>
      <x:c r="D3" s="111"/>
      <x:c r="E3" s="111"/>
      <x:c r="F3" s="111"/>
      <x:c r="G3" s="111"/>
      <x:c r="H3" s="111"/>
      <x:c r="I3" s="111"/>
      <x:c r="J3" s="25"/>
    </x:row>
    <x:row r="4" ht="23" customHeight="1">
      <x:c r="A4" s="25"/>
      <x:c r="B4" s="111"/>
      <x:c r="C4" s="111"/>
      <x:c r="D4" s="111"/>
      <x:c r="E4" s="111"/>
      <x:c r="F4" s="111"/>
      <x:c r="G4" s="111"/>
      <x:c r="H4" s="111"/>
      <x:c r="I4" s="111"/>
      <x:c r="J4" s="25"/>
    </x:row>
    <x:row r="5" ht="23" customHeight="1">
      <x:c r="A5" s="25"/>
      <x:c r="B5" s="25"/>
      <x:c r="C5" s="25"/>
      <x:c r="D5" s="25"/>
      <x:c r="E5" s="25"/>
      <x:c r="F5" s="25"/>
      <x:c r="G5" s="25"/>
      <x:c r="H5" s="25"/>
      <x:c r="I5" s="25"/>
      <x:c r="J5" s="25"/>
    </x:row>
    <x:row r="6" ht="26" customHeight="1">
      <x:c r="A6" s="25"/>
      <x:c r="B6" s="105" t="str">
        <x:v>01  O PROJETO</x:v>
      </x:c>
      <x:c r="C6" s="105"/>
      <x:c r="D6" s="105"/>
      <x:c r="E6" s="105"/>
      <x:c r="F6" s="105"/>
      <x:c r="G6" s="105"/>
      <x:c r="H6" s="105"/>
      <x:c r="I6" s="105"/>
      <x:c r="J6" s="25"/>
    </x:row>
    <x:row r="7" ht="25" customHeight="1">
      <x:c r="A7" s="25"/>
      <x:c r="B7" s="115" t="str">
        <x:v>Dashboard educacional de assinaturas Xbox Game Pass a partir dos arquivos disponibilizados no desafio da DIO. O painel apresenta valores, quantidade, ticket médio, renovação e composição da receita.</x:v>
      </x:c>
      <x:c r="C7" s="115"/>
      <x:c r="D7" s="115"/>
      <x:c r="E7" s="115"/>
      <x:c r="F7" s="115"/>
      <x:c r="G7" s="115"/>
      <x:c r="H7" s="115"/>
      <x:c r="I7" s="115"/>
      <x:c r="J7" s="25"/>
    </x:row>
    <x:row r="8" ht="25" customHeight="1">
      <x:c r="A8" s="25"/>
      <x:c r="B8" s="115"/>
      <x:c r="C8" s="115"/>
      <x:c r="D8" s="115"/>
      <x:c r="E8" s="115"/>
      <x:c r="F8" s="115"/>
      <x:c r="G8" s="115"/>
      <x:c r="H8" s="115"/>
      <x:c r="I8" s="115"/>
      <x:c r="J8" s="25"/>
    </x:row>
    <x:row r="9" ht="23" customHeight="1">
      <x:c r="A9" s="25"/>
      <x:c r="B9" s="25"/>
      <x:c r="C9" s="25"/>
      <x:c r="D9" s="25"/>
      <x:c r="E9" s="25"/>
      <x:c r="F9" s="25"/>
      <x:c r="G9" s="25"/>
      <x:c r="H9" s="25"/>
      <x:c r="I9" s="25"/>
      <x:c r="J9" s="25"/>
    </x:row>
    <x:row r="10" ht="26" customHeight="1">
      <x:c r="A10" s="25"/>
      <x:c r="B10" s="105" t="str">
        <x:v>02  NAVEGUE PELO PAINEL</x:v>
      </x:c>
      <x:c r="C10" s="105"/>
      <x:c r="D10" s="105"/>
      <x:c r="E10" s="105"/>
      <x:c r="F10" s="105"/>
      <x:c r="G10" s="105"/>
      <x:c r="H10" s="105"/>
      <x:c r="I10" s="105"/>
      <x:c r="J10" s="25"/>
    </x:row>
    <x:row r="11" ht="25" customHeight="1">
      <x:c r="A11" s="25"/>
      <x:c r="B11" s="115" t="str">
        <x:v>Abra a guia PAINEL. Utilize os filtros PLANO (célula C7) e PERIODICIDADE (célula K7). Escolha Todos/Todas para restaurar a visão geral. Os KPIs e os quatro gráficos utilizam as seleções.</x:v>
      </x:c>
      <x:c r="C11" s="115"/>
      <x:c r="D11" s="115"/>
      <x:c r="E11" s="115"/>
      <x:c r="F11" s="115"/>
      <x:c r="G11" s="115"/>
      <x:c r="H11" s="115"/>
      <x:c r="I11" s="115"/>
      <x:c r="J11" s="25"/>
    </x:row>
    <x:row r="12" ht="25" customHeight="1">
      <x:c r="A12" s="25"/>
      <x:c r="B12" s="115"/>
      <x:c r="C12" s="115"/>
      <x:c r="D12" s="115"/>
      <x:c r="E12" s="115"/>
      <x:c r="F12" s="115"/>
      <x:c r="G12" s="115"/>
      <x:c r="H12" s="115"/>
      <x:c r="I12" s="115"/>
      <x:c r="J12" s="25"/>
    </x:row>
    <x:row r="13" ht="23" customHeight="1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</x:row>
    <x:row r="14" ht="26" customHeight="1">
      <x:c r="A14" s="25"/>
      <x:c r="B14" s="105" t="str">
        <x:v>03  LEIA A BASE</x:v>
      </x:c>
      <x:c r="C14" s="105"/>
      <x:c r="D14" s="105"/>
      <x:c r="E14" s="105"/>
      <x:c r="F14" s="105"/>
      <x:c r="G14" s="105"/>
      <x:c r="H14" s="105"/>
      <x:c r="I14" s="105"/>
      <x:c r="J14" s="25"/>
    </x:row>
    <x:row r="15" ht="25" customHeight="1">
      <x:c r="A15" s="25"/>
      <x:c r="B15" s="115" t="str">
        <x:v>Na guia DADOS estão os 295 registros originais, sem os nomes dos assinantes. Os IDs foram mantidos para rastreabilidade. Os valores monetários são apresentados em unidades monetárias (u.m.), pois a fonte não informa uma moeda explicitamente.</x:v>
      </x:c>
      <x:c r="C15" s="115"/>
      <x:c r="D15" s="115"/>
      <x:c r="E15" s="115"/>
      <x:c r="F15" s="115"/>
      <x:c r="G15" s="115"/>
      <x:c r="H15" s="115"/>
      <x:c r="I15" s="115"/>
      <x:c r="J15" s="25"/>
    </x:row>
    <x:row r="16" ht="25" customHeight="1">
      <x:c r="A16" s="25"/>
      <x:c r="B16" s="115"/>
      <x:c r="C16" s="115"/>
      <x:c r="D16" s="115"/>
      <x:c r="E16" s="115"/>
      <x:c r="F16" s="115"/>
      <x:c r="G16" s="115"/>
      <x:c r="H16" s="115"/>
      <x:c r="I16" s="115"/>
      <x:c r="J16" s="25"/>
    </x:row>
    <x:row r="17" ht="23" customHeight="1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</x:row>
    <x:row r="18" ht="26" customHeight="1">
      <x:c r="A18" s="25"/>
      <x:c r="B18" s="105" t="str">
        <x:v>04  ENTENDA AS MÉTRICAS</x:v>
      </x:c>
      <x:c r="C18" s="105"/>
      <x:c r="D18" s="105"/>
      <x:c r="E18" s="105"/>
      <x:c r="F18" s="105"/>
      <x:c r="G18" s="105"/>
      <x:c r="H18" s="105"/>
      <x:c r="I18" s="105"/>
      <x:c r="J18" s="25"/>
    </x:row>
    <x:row r="19" ht="25" customHeight="1">
      <x:c r="A19" s="25"/>
      <x:c r="B19" s="115" t="str">
        <x:v>Valor total = valor plano + EA Play + Minecraft − cupom. Valor médio = valor total ÷ número de assinaturas. Renovação automática = assinaturas com indicação Sim ÷ assinaturas filtradas.</x:v>
      </x:c>
      <x:c r="C19" s="115"/>
      <x:c r="D19" s="115"/>
      <x:c r="E19" s="115"/>
      <x:c r="F19" s="115"/>
      <x:c r="G19" s="115"/>
      <x:c r="H19" s="115"/>
      <x:c r="I19" s="115"/>
      <x:c r="J19" s="25"/>
    </x:row>
    <x:row r="20" ht="25" customHeight="1">
      <x:c r="A20" s="25"/>
      <x:c r="B20" s="115"/>
      <x:c r="C20" s="115"/>
      <x:c r="D20" s="115"/>
      <x:c r="E20" s="115"/>
      <x:c r="F20" s="115"/>
      <x:c r="G20" s="115"/>
      <x:c r="H20" s="115"/>
      <x:c r="I20" s="115"/>
      <x:c r="J20" s="25"/>
    </x:row>
    <x:row r="21" ht="23" customHeight="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</x:row>
    <x:row r="22" ht="26" customHeight="1">
      <x:c r="A22" s="25"/>
      <x:c r="B22" s="105" t="str">
        <x:v>05  TEMPO E INTERPRETAÇÃO</x:v>
      </x:c>
      <x:c r="C22" s="105"/>
      <x:c r="D22" s="105"/>
      <x:c r="E22" s="105"/>
      <x:c r="F22" s="105"/>
      <x:c r="G22" s="105"/>
      <x:c r="H22" s="105"/>
      <x:c r="I22" s="105"/>
      <x:c r="J22" s="25"/>
    </x:row>
    <x:row r="23" ht="25" customHeight="1">
      <x:c r="A23" s="25"/>
      <x:c r="B23" s="115" t="str">
        <x:v>O gráfico temporal utiliza a data de início das assinaturas no ano de 2024; ele NÃO mede repasses financeiros mensais recorrentes. Periodicidade classifica os registros e não multiplica preços pelo prazo.</x:v>
      </x:c>
      <x:c r="C23" s="115"/>
      <x:c r="D23" s="115"/>
      <x:c r="E23" s="115"/>
      <x:c r="F23" s="115"/>
      <x:c r="G23" s="115"/>
      <x:c r="H23" s="115"/>
      <x:c r="I23" s="115"/>
      <x:c r="J23" s="25"/>
    </x:row>
    <x:row r="24" ht="25" customHeight="1">
      <x:c r="A24" s="25"/>
      <x:c r="B24" s="115"/>
      <x:c r="C24" s="115"/>
      <x:c r="D24" s="115"/>
      <x:c r="E24" s="115"/>
      <x:c r="F24" s="115"/>
      <x:c r="G24" s="115"/>
      <x:c r="H24" s="115"/>
      <x:c r="I24" s="115"/>
      <x:c r="J24" s="25"/>
    </x:row>
    <x:row r="25" ht="23" customHeight="1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6" ht="26" customHeight="1">
      <x:c r="A26" s="25"/>
      <x:c r="B26" s="105" t="str">
        <x:v>06  QUALIDADE DOS DADOS</x:v>
      </x:c>
      <x:c r="C26" s="105"/>
      <x:c r="D26" s="105"/>
      <x:c r="E26" s="105"/>
      <x:c r="F26" s="105"/>
      <x:c r="G26" s="105"/>
      <x:c r="H26" s="105"/>
      <x:c r="I26" s="105"/>
      <x:c r="J26" s="25"/>
    </x:row>
    <x:row r="27" ht="25" customHeight="1">
      <x:c r="A27" s="25"/>
      <x:c r="B27" s="115" t="str">
        <x:v>A coluna CONFERÊNCIA verifica, linha a linha, se o total coincide com a soma dos componentes. A contagem de divergências no PAINEL observa toda a base, independente dos filtros.</x:v>
      </x:c>
      <x:c r="C27" s="115"/>
      <x:c r="D27" s="115"/>
      <x:c r="E27" s="115"/>
      <x:c r="F27" s="115"/>
      <x:c r="G27" s="115"/>
      <x:c r="H27" s="115"/>
      <x:c r="I27" s="115"/>
      <x:c r="J27" s="25"/>
    </x:row>
    <x:row r="28" ht="25" customHeight="1">
      <x:c r="A28" s="25"/>
      <x:c r="B28" s="115"/>
      <x:c r="C28" s="115"/>
      <x:c r="D28" s="115"/>
      <x:c r="E28" s="115"/>
      <x:c r="F28" s="115"/>
      <x:c r="G28" s="115"/>
      <x:c r="H28" s="115"/>
      <x:c r="I28" s="115"/>
      <x:c r="J28" s="25"/>
    </x:row>
    <x:row r="29" ht="23" customHeight="1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</x:row>
    <x:row r="30" ht="26" customHeight="1">
      <x:c r="A30" s="25"/>
      <x:c r="B30" s="105" t="str">
        <x:v>07  ORIGEM E LIMITAÇÕES</x:v>
      </x:c>
      <x:c r="C30" s="105"/>
      <x:c r="D30" s="105"/>
      <x:c r="E30" s="105"/>
      <x:c r="F30" s="105"/>
      <x:c r="G30" s="105"/>
      <x:c r="H30" s="105"/>
      <x:c r="I30" s="105"/>
      <x:c r="J30" s="25"/>
    </x:row>
    <x:row r="31" ht="25" customHeight="1">
      <x:c r="A31" s="25"/>
      <x:c r="B31" s="115" t="str">
        <x:v>Fontes: planilha base.xlsx e exemplo dashboard_xbox_finalizado.xlsx, fornecidos no material de apoio da DIO. Resultado produzido para fins educacionais; não representa receita contábil ou dados atualizados de uma operação real.</x:v>
      </x:c>
      <x:c r="C31" s="115"/>
      <x:c r="D31" s="115"/>
      <x:c r="E31" s="115"/>
      <x:c r="F31" s="115"/>
      <x:c r="G31" s="115"/>
      <x:c r="H31" s="115"/>
      <x:c r="I31" s="115"/>
      <x:c r="J31" s="25"/>
    </x:row>
    <x:row r="32" ht="25" customHeight="1">
      <x:c r="A32" s="25"/>
      <x:c r="B32" s="115"/>
      <x:c r="C32" s="115"/>
      <x:c r="D32" s="115"/>
      <x:c r="E32" s="115"/>
      <x:c r="F32" s="115"/>
      <x:c r="G32" s="115"/>
      <x:c r="H32" s="115"/>
      <x:c r="I32" s="115"/>
      <x:c r="J32" s="25"/>
    </x:row>
    <x:row r="33" ht="23" customHeight="1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</x:row>
    <x:row r="34" ht="26" customHeight="1">
      <x:c r="A34" s="25"/>
      <x:c r="B34" s="105" t="str">
        <x:v>08  COMPARAÇÃO E REPRODUÇÃO</x:v>
      </x:c>
      <x:c r="C34" s="105"/>
      <x:c r="D34" s="105"/>
      <x:c r="E34" s="105"/>
      <x:c r="F34" s="105"/>
      <x:c r="G34" s="105"/>
      <x:c r="H34" s="105"/>
      <x:c r="I34" s="105"/>
      <x:c r="J34" s="25"/>
    </x:row>
    <x:row r="35" ht="25" customHeight="1">
      <x:c r="A35" s="25"/>
      <x:c r="B35" s="115" t="str">
        <x:v>A guia ANALISE contém as tabelas auxiliares de agregação. Para reproduzir a solução, abra o arquivo no Microsoft Excel e mantenha o cálculo automático habilitado. Novas bases exigem revisão dos intervalos de fórmulas.</x:v>
      </x:c>
      <x:c r="C35" s="115"/>
      <x:c r="D35" s="115"/>
      <x:c r="E35" s="115"/>
      <x:c r="F35" s="115"/>
      <x:c r="G35" s="115"/>
      <x:c r="H35" s="115"/>
      <x:c r="I35" s="115"/>
      <x:c r="J35" s="25"/>
    </x:row>
    <x:row r="36" ht="25" customHeight="1">
      <x:c r="A36" s="25"/>
      <x:c r="B36" s="115"/>
      <x:c r="C36" s="115"/>
      <x:c r="D36" s="115"/>
      <x:c r="E36" s="115"/>
      <x:c r="F36" s="115"/>
      <x:c r="G36" s="115"/>
      <x:c r="H36" s="115"/>
      <x:c r="I36" s="115"/>
      <x:c r="J36" s="25"/>
    </x:row>
    <x:row r="37" ht="23" customHeight="1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</x:row>
    <x:row r="38" ht="23" customHeight="1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</x:row>
  </x:sheetData>
  <x:mergeCells>
    <x:mergeCell ref="B2:I4"/>
    <x:mergeCell ref="B6:I6"/>
    <x:mergeCell ref="B7:I8"/>
    <x:mergeCell ref="B10:I10"/>
    <x:mergeCell ref="B11:I12"/>
    <x:mergeCell ref="B14:I14"/>
    <x:mergeCell ref="B15:I16"/>
    <x:mergeCell ref="B18:I18"/>
    <x:mergeCell ref="B19:I20"/>
    <x:mergeCell ref="B22:I22"/>
    <x:mergeCell ref="B23:I24"/>
    <x:mergeCell ref="B26:I26"/>
    <x:mergeCell ref="B27:I28"/>
    <x:mergeCell ref="B30:I30"/>
    <x:mergeCell ref="B31:I32"/>
    <x:mergeCell ref="B34:I34"/>
    <x:mergeCell ref="B35:I36"/>
  </x:mergeCells>
  <x:pageMargins left="0.7" right="0.7" top="0.75" bottom="0.75" header="0.3" footer="0.3"/>
</x:worksheet>
</file>